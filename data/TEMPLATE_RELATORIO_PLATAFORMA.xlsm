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nderson.vieira\Downloads\"/>
    </mc:Choice>
  </mc:AlternateContent>
  <xr:revisionPtr revIDLastSave="0" documentId="8_{30833254-7612-42F9-93CE-738EE0E76131}" xr6:coauthVersionLast="47" xr6:coauthVersionMax="47" xr10:uidLastSave="{00000000-0000-0000-0000-000000000000}"/>
  <bookViews>
    <workbookView xWindow="-120" yWindow="-120" windowWidth="29040" windowHeight="15720" firstSheet="1" activeTab="4" xr2:uid="{9FAE7811-DF56-4D3A-A3C0-AFCB706F2E1C}"/>
  </bookViews>
  <sheets>
    <sheet name="Dashboard" sheetId="4" r:id="rId1"/>
    <sheet name="DADOS_BRUTOS" sheetId="7" r:id="rId2"/>
    <sheet name="Pivot Finalizadas" sheetId="6" r:id="rId3"/>
    <sheet name="Pivot Segmentos" sheetId="8" r:id="rId4"/>
    <sheet name="Detalhada" sheetId="1" r:id="rId5"/>
  </sheets>
  <definedNames>
    <definedName name="_xlnm._FilterDatabase" localSheetId="4" hidden="1">Detalhada!$A$1:$R$160</definedName>
    <definedName name="_xlnm.Print_Area" localSheetId="0">Dashboard!$A$1:$P$55</definedName>
  </definedNames>
  <calcPr calcId="191029"/>
  <pivotCaches>
    <pivotCache cacheId="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7" i="8" l="1"/>
  <c r="C7" i="8"/>
  <c r="B7" i="8"/>
  <c r="E6" i="8"/>
  <c r="C6" i="8"/>
  <c r="B6" i="8"/>
  <c r="E5" i="8"/>
  <c r="C5" i="8"/>
  <c r="B5" i="8"/>
  <c r="M8" i="4"/>
  <c r="AB5" i="4" s="1"/>
  <c r="J8" i="4"/>
  <c r="G8" i="4"/>
  <c r="AB3" i="4" s="1"/>
  <c r="D8" i="4"/>
  <c r="D7" i="8" l="1"/>
  <c r="F7" i="8"/>
  <c r="F6" i="8"/>
  <c r="D6" i="8"/>
  <c r="E8" i="8"/>
  <c r="C8" i="8"/>
  <c r="D5" i="8"/>
  <c r="A8" i="4"/>
  <c r="AB6" i="4" s="1"/>
  <c r="F5" i="8"/>
  <c r="I2" i="6"/>
  <c r="I3" i="6"/>
  <c r="I4" i="6"/>
  <c r="AB4" i="4"/>
  <c r="B8" i="8" l="1"/>
  <c r="D8" i="8" s="1"/>
  <c r="F8" i="8" l="1"/>
</calcChain>
</file>

<file path=xl/sharedStrings.xml><?xml version="1.0" encoding="utf-8"?>
<sst xmlns="http://schemas.openxmlformats.org/spreadsheetml/2006/main" count="10606" uniqueCount="1324">
  <si>
    <t>Recurso</t>
  </si>
  <si>
    <t>Finalizadas Manha</t>
  </si>
  <si>
    <t>CSC327</t>
  </si>
  <si>
    <t>CDC459</t>
  </si>
  <si>
    <t>CSC338</t>
  </si>
  <si>
    <t>CSC325</t>
  </si>
  <si>
    <t>Ficha</t>
  </si>
  <si>
    <t>Data</t>
  </si>
  <si>
    <t>Base</t>
  </si>
  <si>
    <t>Area</t>
  </si>
  <si>
    <t>RE 1</t>
  </si>
  <si>
    <t>Nome 1</t>
  </si>
  <si>
    <t>RE 2</t>
  </si>
  <si>
    <t>Nome 2</t>
  </si>
  <si>
    <t>Equipamentos</t>
  </si>
  <si>
    <t>Baixa Sistema</t>
  </si>
  <si>
    <t>Finalizado</t>
  </si>
  <si>
    <t>Criado Por</t>
  </si>
  <si>
    <t>Criado Data Hora</t>
  </si>
  <si>
    <t>Alterado Por</t>
  </si>
  <si>
    <t>Alterado Data Hora</t>
  </si>
  <si>
    <t>Periodo Criacao</t>
  </si>
  <si>
    <t>Periodo Finalizacao</t>
  </si>
  <si>
    <t>Santo André</t>
  </si>
  <si>
    <t>Leste</t>
  </si>
  <si>
    <t>CSC342</t>
  </si>
  <si>
    <t>JUSSIENE PEREIRA BORGES</t>
  </si>
  <si>
    <t>VICTOR NUNES BUENO</t>
  </si>
  <si>
    <t>Sim</t>
  </si>
  <si>
    <t>Manha</t>
  </si>
  <si>
    <t>Tarde</t>
  </si>
  <si>
    <t>MARCIO WILLIAM GOMES DA CRUZ</t>
  </si>
  <si>
    <t>VITOR SANTOS DE LIMA</t>
  </si>
  <si>
    <t>PEDRO EUGENIO P DAMIÃO</t>
  </si>
  <si>
    <t>CSC329</t>
  </si>
  <si>
    <t>JOAO VITOR MENDES DOS ANJOS</t>
  </si>
  <si>
    <t>HUGO CARLOS MARTINS DAMASCENO</t>
  </si>
  <si>
    <t>Sul</t>
  </si>
  <si>
    <t>ABC Sul</t>
  </si>
  <si>
    <t>KELVIN SOUZA SANTOS</t>
  </si>
  <si>
    <t>VANDELCI ELEUTERIO DA SILVA</t>
  </si>
  <si>
    <t>GUSTAVO HENRIQUE DOS S BARBOZA</t>
  </si>
  <si>
    <t>RODRIGO AMANCIO DOS S LIMA</t>
  </si>
  <si>
    <t>Não</t>
  </si>
  <si>
    <t>CDC406</t>
  </si>
  <si>
    <t>DIEGO FERREIRA VILAS BOAS</t>
  </si>
  <si>
    <t>MARCO AURELIO DE O. BENTO</t>
  </si>
  <si>
    <t>TIAGO DE FREITAS SANTOS</t>
  </si>
  <si>
    <t>THIAGO TELES RIBEIRO</t>
  </si>
  <si>
    <t>PEDRO DANIEL CAMARGO D SANTOS</t>
  </si>
  <si>
    <t>CSC312</t>
  </si>
  <si>
    <t>JEAN DE SOUZA MIRANDA</t>
  </si>
  <si>
    <t>ANDERSON WILDENER DE S SILVA</t>
  </si>
  <si>
    <t>CSC316</t>
  </si>
  <si>
    <t>ANDERSON CARDOSO TEIXEIRA</t>
  </si>
  <si>
    <t>WESLEY DOS SANTOS GARCIA</t>
  </si>
  <si>
    <t>RICARDO COUTO SOARES</t>
  </si>
  <si>
    <t>IZAQUE NEVES DA SILVA</t>
  </si>
  <si>
    <t>CSC306</t>
  </si>
  <si>
    <t>DIOGO LUCIANO DOS SANTOS</t>
  </si>
  <si>
    <t>WELLINGSON FERNANDES SILVA</t>
  </si>
  <si>
    <t>ANDRE LUIZ DA SILVA</t>
  </si>
  <si>
    <t>CDC401</t>
  </si>
  <si>
    <t>HELIO PRATES BENTO</t>
  </si>
  <si>
    <t>JULIO CESAR BRANDAO DE LIMA</t>
  </si>
  <si>
    <t>GABRIEL DE SOUSA R. DA SILVA</t>
  </si>
  <si>
    <t>MATHEUS BARRETO ALMEIDA</t>
  </si>
  <si>
    <t>CSC340</t>
  </si>
  <si>
    <t>ELTON JOHN SILVA SANTOS</t>
  </si>
  <si>
    <t>CAIQUE ALVES PEREIRA</t>
  </si>
  <si>
    <t>ARIEL SOARES LIMA</t>
  </si>
  <si>
    <t>JOAO VITOR DE LIMA DE SOUZA</t>
  </si>
  <si>
    <t>CDC449</t>
  </si>
  <si>
    <t>VINICIUS SANTOS DA SILVA</t>
  </si>
  <si>
    <t>GUSTAVO HENRIQUE S DA CUNHA</t>
  </si>
  <si>
    <t>PAULO ROBSON DOS SANTOS BARBOZ</t>
  </si>
  <si>
    <t>CSC314</t>
  </si>
  <si>
    <t>VITOR DUARTE LIMA</t>
  </si>
  <si>
    <t>DENIS LOPES DOS SANTOS</t>
  </si>
  <si>
    <t>CSC317</t>
  </si>
  <si>
    <t>EDER GUILHERME DA C. FERREIRA</t>
  </si>
  <si>
    <t>FRANCISCO ANTONIO DA SILVA</t>
  </si>
  <si>
    <t>RODRIGO VITORIO MOTA ANDRADE</t>
  </si>
  <si>
    <t>LUIZ MARCELO DA HORA SILVA</t>
  </si>
  <si>
    <t>CSC324</t>
  </si>
  <si>
    <t>FELIPE HELIO R DOS SANTOS</t>
  </si>
  <si>
    <t>JONATHAN VITOR DE B DA SILVA</t>
  </si>
  <si>
    <t>CSC320</t>
  </si>
  <si>
    <t>EDSON SILVA NASCIMENTO</t>
  </si>
  <si>
    <t>JANILDO NOBRE EVANGELISTA</t>
  </si>
  <si>
    <t>RAMAL 10 MM TRIPLEX (NEUTRO DESENCAPADO) (50)</t>
  </si>
  <si>
    <t>CSC311</t>
  </si>
  <si>
    <t>KAIO HENRIQUE VAZ T DA SILVA</t>
  </si>
  <si>
    <t>KEVIN ROCHA DE OLIVEIRA</t>
  </si>
  <si>
    <t>CVC300</t>
  </si>
  <si>
    <t>MURILO A DOS S GRIZOSTINO</t>
  </si>
  <si>
    <t>CSC308</t>
  </si>
  <si>
    <t>IGOR MACEDO LOPES DA SILVA</t>
  </si>
  <si>
    <t>OSVALDO APARECIDO GOMES</t>
  </si>
  <si>
    <t>VANDO BESERRA PEREIRA</t>
  </si>
  <si>
    <t>WARLLEY MARTINS DE SOUZA</t>
  </si>
  <si>
    <t>CSC322</t>
  </si>
  <si>
    <t>FELIPE WILSON GRIMALDI</t>
  </si>
  <si>
    <t>HENRIQUE MENEZES C DE OLIVEIRA</t>
  </si>
  <si>
    <t>CSC319</t>
  </si>
  <si>
    <t>JOSEILDO DOS SANTOS LEITE</t>
  </si>
  <si>
    <t>PEDRO HENRIQUE C DA SILVA</t>
  </si>
  <si>
    <t>CSC356</t>
  </si>
  <si>
    <t>MAURILIO MACEDO MOREIRA</t>
  </si>
  <si>
    <t>LUCAS PIRES DO NASCIMENTO</t>
  </si>
  <si>
    <t>CSC310</t>
  </si>
  <si>
    <t>DANIEL DE JESUS VIEIRA MATOS</t>
  </si>
  <si>
    <t>JOAO MARCOS FREITAS SANTANA</t>
  </si>
  <si>
    <t>CDC404</t>
  </si>
  <si>
    <t>GABRIEL AZEREDO DE ALMEIDA</t>
  </si>
  <si>
    <t>GUILHERME FERNANDES DE LIMA</t>
  </si>
  <si>
    <t>CDC424</t>
  </si>
  <si>
    <t>RONNEY MACEDO DOS SANTOS</t>
  </si>
  <si>
    <t>CSC323</t>
  </si>
  <si>
    <t>MATHEUS FERREIRA DA SILVA</t>
  </si>
  <si>
    <t>JOSE HENRIQUE DE LIMA DE SOUZA</t>
  </si>
  <si>
    <t>CARLOS ALBERTO DOMENES JUNIOR</t>
  </si>
  <si>
    <t>FABIO BATISTA RODRIGUES</t>
  </si>
  <si>
    <t>CSC318</t>
  </si>
  <si>
    <t>ALEX HENRIQUE ODILON DA SILVA</t>
  </si>
  <si>
    <t>CARLITO JACINTO MOREIRA JUNIOR</t>
  </si>
  <si>
    <t>CDC414</t>
  </si>
  <si>
    <t>GIVANILDO FAUSTINO DE OLIVEIRA</t>
  </si>
  <si>
    <t>RICARDO JUNIOR SILVA DA CRUZ</t>
  </si>
  <si>
    <t>JEFFERSON LUIZ ANDRADE DA S.</t>
  </si>
  <si>
    <t>GILMAR DE OLIVEIRA</t>
  </si>
  <si>
    <t>MIGUEL FARIA PINTO</t>
  </si>
  <si>
    <t>TRIFASICO INDIRETO (1)</t>
  </si>
  <si>
    <t>CSC305</t>
  </si>
  <si>
    <t>PEDRO H ALENCAR SILVA SANTOS</t>
  </si>
  <si>
    <t>CDC455</t>
  </si>
  <si>
    <t>ROSENILDO SILVA L DAMASCENO</t>
  </si>
  <si>
    <t>DANIEL DE OLIVEIRA SOARES</t>
  </si>
  <si>
    <t>EVERSON DA SILVA</t>
  </si>
  <si>
    <t>DOUGLAS DE SOUZA ALBUQUERQUE</t>
  </si>
  <si>
    <t>CSC300</t>
  </si>
  <si>
    <t>SIDNEI GARCIA</t>
  </si>
  <si>
    <t>SHEILA PEREIRA NOGUEIRA</t>
  </si>
  <si>
    <t>CVC301</t>
  </si>
  <si>
    <t>RODRIGO RICHARD BARBOSA</t>
  </si>
  <si>
    <t>ERIEL ALDO SANTOS FARIAS</t>
  </si>
  <si>
    <t>VITAL GABRIEL DE ARAUJO NETO</t>
  </si>
  <si>
    <t>LUCAS M DOS S LOMBARDI</t>
  </si>
  <si>
    <t>CDC471</t>
  </si>
  <si>
    <t>MICHAEL DOS SANTOS TEIXEIRA</t>
  </si>
  <si>
    <t>MATHEUS DE ATAIDE DE OLIVEIRA</t>
  </si>
  <si>
    <t>CVC332</t>
  </si>
  <si>
    <t>LEONARDO MARTINS GONCALVES</t>
  </si>
  <si>
    <t>GILBERTO ALVES DE SOUSA</t>
  </si>
  <si>
    <t>CDC416</t>
  </si>
  <si>
    <t>PAULO RAFAEL DO NASCIMENTO</t>
  </si>
  <si>
    <t>SAMUEL MARTINS PORTO COSTA</t>
  </si>
  <si>
    <t>CDC447</t>
  </si>
  <si>
    <t>CARLOS HENRIQUE SILVA DE SOUZA</t>
  </si>
  <si>
    <t>WALMIR CORREIA SANTOS</t>
  </si>
  <si>
    <t>CSC302</t>
  </si>
  <si>
    <t>CDC472</t>
  </si>
  <si>
    <t>CSC343</t>
  </si>
  <si>
    <t>CAUA PETERSON DA SILVA BEZERRA</t>
  </si>
  <si>
    <t>LEANDRO DE SA MATOS</t>
  </si>
  <si>
    <t>CDC402</t>
  </si>
  <si>
    <t>ITALLO VINNICIUS DE SOUSA LIMA</t>
  </si>
  <si>
    <t>JAILSON DOUGLAS FERREIRA GOMES</t>
  </si>
  <si>
    <t>Mesma Manha</t>
  </si>
  <si>
    <t>Total Geral</t>
  </si>
  <si>
    <t>Total de Fichas</t>
  </si>
  <si>
    <t>Nao finalizadas</t>
  </si>
  <si>
    <t>Fichas</t>
  </si>
  <si>
    <t>Total Finalizadas</t>
  </si>
  <si>
    <t>FICHAS FINALIZADAS POR EQUIPE E PERIODO</t>
  </si>
  <si>
    <t>Fonte: aba Detalhada | Filtro: Finalizado = Sim | Colunas: Manha, Tarde e Total Geral</t>
  </si>
  <si>
    <t>INDICADORES</t>
  </si>
  <si>
    <t>Finalizadas Tarde</t>
  </si>
  <si>
    <t>FINALIZADAS MANHA</t>
  </si>
  <si>
    <t>FINALIZADAS TARDE</t>
  </si>
  <si>
    <t>Status</t>
  </si>
  <si>
    <t>ABRIR TABELA DINAMICA  →</t>
  </si>
  <si>
    <t>Intervalo Minutos</t>
  </si>
  <si>
    <t>Rapida Manha 120min</t>
  </si>
  <si>
    <t>Nao</t>
  </si>
  <si>
    <t>PAINEL OPERACIONAL | FINALIZACAO E TEMPO DE CICLO</t>
  </si>
  <si>
    <t>Equipe = Recurso da aba Detalhada  •  Rapida = criada pela manha e finalizada em ate 120 minutos  •  Manha = encerramento ate 12h00</t>
  </si>
  <si>
    <t>TOTAL FINALIZADAS</t>
  </si>
  <si>
    <t>RAPIDAS MANHA ≤ 2H</t>
  </si>
  <si>
    <t>TEMPO MEDIO RAPIDAS</t>
  </si>
  <si>
    <t>COMPOSICAO DAS FICHAS</t>
  </si>
  <si>
    <t>MANHA POR DATA DE FINALIZACAO</t>
  </si>
  <si>
    <t>EQUIPES = RECURSO | FINALIZADAS MANHA x RAPIDAS ATE 2H</t>
  </si>
  <si>
    <t>Rapidas manha ate 2h</t>
  </si>
  <si>
    <t>Demais finalizadas manha</t>
  </si>
  <si>
    <t>Finalizadas tarde</t>
  </si>
  <si>
    <t>Rapidas ate 2h</t>
  </si>
  <si>
    <t>LEITURA EXECUTIVA  |  42 fichas foram finalizadas pela manha. Destas, 14 foram criadas pela manha e encerradas em ate 2 horas, com tempo medio de 46,6 minutos, envolvendo 13 recursos. O recurso e a identificacao oficial da equipe neste painel.</t>
  </si>
  <si>
    <t>Criterio rapido: Finalizado = Sim; criacao pela manha; finalizacao pela manha; intervalo entre 0 e 120 minutos.</t>
  </si>
  <si>
    <t>Equipamento</t>
  </si>
  <si>
    <t>Pedido</t>
  </si>
  <si>
    <t>Fornecido</t>
  </si>
  <si>
    <t>Devolucao</t>
  </si>
  <si>
    <t>OBS</t>
  </si>
  <si>
    <t>criado Por</t>
  </si>
  <si>
    <t>criado Data Hora</t>
  </si>
  <si>
    <t>alterado Por</t>
  </si>
  <si>
    <t>alterado Data Hora</t>
  </si>
  <si>
    <t>21352</t>
  </si>
  <si>
    <t>22749</t>
  </si>
  <si>
    <t>TC 200</t>
  </si>
  <si>
    <t>9</t>
  </si>
  <si>
    <t>0</t>
  </si>
  <si>
    <t/>
  </si>
  <si>
    <t>19060</t>
  </si>
  <si>
    <t>26039</t>
  </si>
  <si>
    <t>FITA ISOLANTE</t>
  </si>
  <si>
    <t>2</t>
  </si>
  <si>
    <t>PIERCING GRANDE</t>
  </si>
  <si>
    <t>25</t>
  </si>
  <si>
    <t>ESTRELA FORÇA GD</t>
  </si>
  <si>
    <t>12</t>
  </si>
  <si>
    <t>LACRE MARROM</t>
  </si>
  <si>
    <t>50</t>
  </si>
  <si>
    <t>RAMAL 10 MM TRIPLEX (NEUTRO DESENCAPADO)</t>
  </si>
  <si>
    <t>1</t>
  </si>
  <si>
    <t xml:space="preserve">CSC300 </t>
  </si>
  <si>
    <t>5432</t>
  </si>
  <si>
    <t>24525</t>
  </si>
  <si>
    <t>TRIFASICO INDIRETO</t>
  </si>
  <si>
    <t xml:space="preserve">DELTA SMART </t>
  </si>
  <si>
    <t>24</t>
  </si>
  <si>
    <t>20829</t>
  </si>
  <si>
    <t>23160</t>
  </si>
  <si>
    <t xml:space="preserve">CSC327 </t>
  </si>
  <si>
    <t>23930</t>
  </si>
  <si>
    <t>3</t>
  </si>
  <si>
    <t>100</t>
  </si>
  <si>
    <t>CABO 70 MM  (QUADRUPLEX)</t>
  </si>
  <si>
    <t>30</t>
  </si>
  <si>
    <t>6</t>
  </si>
  <si>
    <t>23353</t>
  </si>
  <si>
    <t>23260</t>
  </si>
  <si>
    <t>22949</t>
  </si>
  <si>
    <t>24256</t>
  </si>
  <si>
    <t>CABO 50 MM  NOVO (QUADRUPLEX)</t>
  </si>
  <si>
    <t>20602</t>
  </si>
  <si>
    <t>21517</t>
  </si>
  <si>
    <t>23492</t>
  </si>
  <si>
    <t>18442</t>
  </si>
  <si>
    <t>17844</t>
  </si>
  <si>
    <t>20033</t>
  </si>
  <si>
    <t>24775</t>
  </si>
  <si>
    <t>CENTRALIZADO DIRETO</t>
  </si>
  <si>
    <t>10</t>
  </si>
  <si>
    <t>20</t>
  </si>
  <si>
    <t>4</t>
  </si>
  <si>
    <t>ESTRELA FORÇA</t>
  </si>
  <si>
    <t>ESTRELA LUZ</t>
  </si>
  <si>
    <t>36</t>
  </si>
  <si>
    <t>21475</t>
  </si>
  <si>
    <t>21840</t>
  </si>
  <si>
    <t>TRIFASICO INDIRETO GD</t>
  </si>
  <si>
    <t>25973</t>
  </si>
  <si>
    <t>21356</t>
  </si>
  <si>
    <t>23869</t>
  </si>
  <si>
    <t xml:space="preserve">CSC324 </t>
  </si>
  <si>
    <t>18059</t>
  </si>
  <si>
    <t>23357</t>
  </si>
  <si>
    <t>23149</t>
  </si>
  <si>
    <t>20997</t>
  </si>
  <si>
    <t>LACRE PRETO</t>
  </si>
  <si>
    <t>13193</t>
  </si>
  <si>
    <t>21361</t>
  </si>
  <si>
    <t>RAMAL 10 MM (QUADRUPLEX)</t>
  </si>
  <si>
    <t>ALÇA 25 MM</t>
  </si>
  <si>
    <t>ALÇA 10 MM</t>
  </si>
  <si>
    <t>19073</t>
  </si>
  <si>
    <t>24778</t>
  </si>
  <si>
    <t>15</t>
  </si>
  <si>
    <t>14</t>
  </si>
  <si>
    <t>5</t>
  </si>
  <si>
    <t>6763</t>
  </si>
  <si>
    <t>13042</t>
  </si>
  <si>
    <t>PARAFUSO GRANDE</t>
  </si>
  <si>
    <t>18</t>
  </si>
  <si>
    <t>PIERCING GRANDE SOC</t>
  </si>
  <si>
    <t xml:space="preserve">CSC320 </t>
  </si>
  <si>
    <t>3987</t>
  </si>
  <si>
    <t>4732</t>
  </si>
  <si>
    <t>CABO 25 MM  (QUADRUPLEX)</t>
  </si>
  <si>
    <t>DELTA GD</t>
  </si>
  <si>
    <t xml:space="preserve">CSC314 </t>
  </si>
  <si>
    <t>21635</t>
  </si>
  <si>
    <t>24907</t>
  </si>
  <si>
    <t>OUTROS</t>
  </si>
  <si>
    <t xml:space="preserve">Parafuso brocante </t>
  </si>
  <si>
    <t>Ok</t>
  </si>
  <si>
    <t xml:space="preserve">CSC308 </t>
  </si>
  <si>
    <t>17569</t>
  </si>
  <si>
    <t>13733</t>
  </si>
  <si>
    <t xml:space="preserve"> </t>
  </si>
  <si>
    <t>7</t>
  </si>
  <si>
    <t xml:space="preserve">CSC329 </t>
  </si>
  <si>
    <t>15753</t>
  </si>
  <si>
    <t>23163</t>
  </si>
  <si>
    <t>19213</t>
  </si>
  <si>
    <t>17448</t>
  </si>
  <si>
    <t>19473</t>
  </si>
  <si>
    <t xml:space="preserve">Metros </t>
  </si>
  <si>
    <t>Metros</t>
  </si>
  <si>
    <t xml:space="preserve">CSC338 </t>
  </si>
  <si>
    <t>CABO 25 MM (TRIPLEX)</t>
  </si>
  <si>
    <t>17449</t>
  </si>
  <si>
    <t>7315</t>
  </si>
  <si>
    <t>14432</t>
  </si>
  <si>
    <t xml:space="preserve">CSC319 </t>
  </si>
  <si>
    <t>13461</t>
  </si>
  <si>
    <t>22347</t>
  </si>
  <si>
    <t>7167</t>
  </si>
  <si>
    <t>9757</t>
  </si>
  <si>
    <t>6652</t>
  </si>
  <si>
    <t>ALÇA 50 MM</t>
  </si>
  <si>
    <t>13460</t>
  </si>
  <si>
    <t>22716</t>
  </si>
  <si>
    <t>19323</t>
  </si>
  <si>
    <t>20043</t>
  </si>
  <si>
    <t>18608</t>
  </si>
  <si>
    <t>23352</t>
  </si>
  <si>
    <t>25519</t>
  </si>
  <si>
    <t>22740</t>
  </si>
  <si>
    <t>21004</t>
  </si>
  <si>
    <t>22954</t>
  </si>
  <si>
    <t>19067</t>
  </si>
  <si>
    <t>19044</t>
  </si>
  <si>
    <t>24229</t>
  </si>
  <si>
    <t xml:space="preserve">CDC455 </t>
  </si>
  <si>
    <t>21847</t>
  </si>
  <si>
    <t>25507</t>
  </si>
  <si>
    <t>PARAFUSO PEQUENO</t>
  </si>
  <si>
    <t>25859</t>
  </si>
  <si>
    <t>25440</t>
  </si>
  <si>
    <t>10613</t>
  </si>
  <si>
    <t>12445</t>
  </si>
  <si>
    <t xml:space="preserve">CSC322 </t>
  </si>
  <si>
    <t>22724</t>
  </si>
  <si>
    <t>22990</t>
  </si>
  <si>
    <t>PARAFUSO MÉDIO</t>
  </si>
  <si>
    <t xml:space="preserve">CDC404 </t>
  </si>
  <si>
    <t>9893</t>
  </si>
  <si>
    <t>22731</t>
  </si>
  <si>
    <t xml:space="preserve">CSC317 </t>
  </si>
  <si>
    <t>13459</t>
  </si>
  <si>
    <t>14181</t>
  </si>
  <si>
    <t xml:space="preserve">Csc356 </t>
  </si>
  <si>
    <t>21630</t>
  </si>
  <si>
    <t>21979</t>
  </si>
  <si>
    <t>Uni</t>
  </si>
  <si>
    <t>19920</t>
  </si>
  <si>
    <t>24212</t>
  </si>
  <si>
    <t>18062</t>
  </si>
  <si>
    <t>19081</t>
  </si>
  <si>
    <t>17517</t>
  </si>
  <si>
    <t>18521</t>
  </si>
  <si>
    <t xml:space="preserve">CDC449 </t>
  </si>
  <si>
    <t>19035</t>
  </si>
  <si>
    <t>19052</t>
  </si>
  <si>
    <t>19049</t>
  </si>
  <si>
    <t>19905</t>
  </si>
  <si>
    <t>25505</t>
  </si>
  <si>
    <t>25522</t>
  </si>
  <si>
    <t>COMO USAR</t>
  </si>
  <si>
    <t>Se necessario, use o botao abaixo:</t>
  </si>
  <si>
    <t>DELTA SMART (24)</t>
  </si>
  <si>
    <t>DELTA SMART (12)</t>
  </si>
  <si>
    <t>DELTA SMART (18)</t>
  </si>
  <si>
    <t>FICHAS POR SEGMENTO | ENCERRAMENTO MANHA x TARDE</t>
  </si>
  <si>
    <t>SEGMENTO</t>
  </si>
  <si>
    <t>TOTAL FICHAS</t>
  </si>
  <si>
    <t>ENCERRADAS MANHA</t>
  </si>
  <si>
    <t>%</t>
  </si>
  <si>
    <t>ENCERRADAS A TARDE</t>
  </si>
  <si>
    <t>LESTE</t>
  </si>
  <si>
    <t>SUL</t>
  </si>
  <si>
    <t>CLANDESTINA</t>
  </si>
  <si>
    <t>TOTAL</t>
  </si>
  <si>
    <t>24526</t>
  </si>
  <si>
    <t>LEONDAS INACIO AVELINO FILHO</t>
  </si>
  <si>
    <t>25512</t>
  </si>
  <si>
    <t>GUSTAVO GARCIA SOUZA</t>
  </si>
  <si>
    <t>MURILO QUEIROZ FIGUEIREDO</t>
  </si>
  <si>
    <t>15602</t>
  </si>
  <si>
    <t>THIAGO CAMPOS GONCALVES</t>
  </si>
  <si>
    <t>PIERCING TP3</t>
  </si>
  <si>
    <t>23359</t>
  </si>
  <si>
    <t>JOYCE DA SILVA</t>
  </si>
  <si>
    <t>24255</t>
  </si>
  <si>
    <t>WESLEI DA SILVA GOMES</t>
  </si>
  <si>
    <t xml:space="preserve">RCL001 </t>
  </si>
  <si>
    <t>53407</t>
  </si>
  <si>
    <t>CARLOS RIBEIRO DE ALMEIDA</t>
  </si>
  <si>
    <t>10653</t>
  </si>
  <si>
    <t>VLADEMIR LOPES DA SILVA</t>
  </si>
  <si>
    <t>CAIXA MD. UNIFICADA</t>
  </si>
  <si>
    <t>19037</t>
  </si>
  <si>
    <t>GABRIEL SOUSA DE OLIVEIRA</t>
  </si>
  <si>
    <t xml:space="preserve">CSC302 </t>
  </si>
  <si>
    <t xml:space="preserve">CVC330 </t>
  </si>
  <si>
    <t>24776</t>
  </si>
  <si>
    <t>GABRIEL LIMA DE OLIVEIRA</t>
  </si>
  <si>
    <t xml:space="preserve">CSC311 </t>
  </si>
  <si>
    <t xml:space="preserve">Csc308 </t>
  </si>
  <si>
    <t>CSC341</t>
  </si>
  <si>
    <t>17904</t>
  </si>
  <si>
    <t>JOEL DE SOUZA BARBOSA</t>
  </si>
  <si>
    <t>15240</t>
  </si>
  <si>
    <t>ALEXSANDRO MOREIRA MACEDO</t>
  </si>
  <si>
    <t>ESTRELA LUZ BIFÁSICO (NOVO)</t>
  </si>
  <si>
    <t>25506</t>
  </si>
  <si>
    <t>CLAUDEMIR ROBERTO DE SOUZA</t>
  </si>
  <si>
    <t>CSC358</t>
  </si>
  <si>
    <t xml:space="preserve">CSC337 </t>
  </si>
  <si>
    <t>22717</t>
  </si>
  <si>
    <t>DANIEL RODRIGUES DOS SANTOS</t>
  </si>
  <si>
    <t>24875</t>
  </si>
  <si>
    <t>IZAIAS ANTONIO DA SILVA</t>
  </si>
  <si>
    <t xml:space="preserve">RCL004 </t>
  </si>
  <si>
    <t>13231</t>
  </si>
  <si>
    <t>ANTONIO GERSON SENA DE JESUS</t>
  </si>
  <si>
    <t>20964</t>
  </si>
  <si>
    <t>FELIPE GOMES DOS SANTOS</t>
  </si>
  <si>
    <t>CABO BICONCENTRICO NOVO</t>
  </si>
  <si>
    <t>RCL005</t>
  </si>
  <si>
    <t>23198</t>
  </si>
  <si>
    <t>ROMARIO SANTANA DOS SANTOS</t>
  </si>
  <si>
    <t>53435</t>
  </si>
  <si>
    <t>WALDEMAR FREITAS SANTOS</t>
  </si>
  <si>
    <t>ALÇA PARA CABO BICONCENTRICO</t>
  </si>
  <si>
    <t xml:space="preserve">CSC343 </t>
  </si>
  <si>
    <t>16210</t>
  </si>
  <si>
    <t>PATRICK OLIVEIRA NASCIMENTO</t>
  </si>
  <si>
    <t>17561</t>
  </si>
  <si>
    <t>DANILO JOSE DA SILVA</t>
  </si>
  <si>
    <t>24257</t>
  </si>
  <si>
    <t>CLEITON DE JESUS ROCHA MORAES</t>
  </si>
  <si>
    <t>10097</t>
  </si>
  <si>
    <t>RONEI BORGES DE OLIVEIRA</t>
  </si>
  <si>
    <t>200</t>
  </si>
  <si>
    <t>1922</t>
  </si>
  <si>
    <t>CLAUDIO FERNANDO NUNES BAPTIST</t>
  </si>
  <si>
    <t>25763</t>
  </si>
  <si>
    <t>EDMILSON ALVES DOS SANTOS</t>
  </si>
  <si>
    <t>15747</t>
  </si>
  <si>
    <t>GERALDO GONCALVES DE SOUZA</t>
  </si>
  <si>
    <t>9895</t>
  </si>
  <si>
    <t>CHARLES LIMEIRA NUNES</t>
  </si>
  <si>
    <t xml:space="preserve">CSC359 </t>
  </si>
  <si>
    <t>21359</t>
  </si>
  <si>
    <t>RODRIGO CLAUDINO DE ARAUJO</t>
  </si>
  <si>
    <t>25518</t>
  </si>
  <si>
    <t>MARCOS ANTONIO DIAS GONCALVES</t>
  </si>
  <si>
    <t xml:space="preserve">RCL002 </t>
  </si>
  <si>
    <t>812</t>
  </si>
  <si>
    <t>GENILTON LIMA DE SOUZA</t>
  </si>
  <si>
    <t>21002</t>
  </si>
  <si>
    <t>SAMUEL MARCOS ALVES DA SILVA</t>
  </si>
  <si>
    <t>CAIXA DERIVAÇÃO GDE</t>
  </si>
  <si>
    <t>RAMAL 10 MM TRIPLEX (NEUTRO DESENCAPADO) (100)</t>
  </si>
  <si>
    <t>CSC360</t>
  </si>
  <si>
    <t>RCL001</t>
  </si>
  <si>
    <t>CVC330</t>
  </si>
  <si>
    <t>CSC337</t>
  </si>
  <si>
    <t>RCL004</t>
  </si>
  <si>
    <t>CSC395</t>
  </si>
  <si>
    <t>CVC331</t>
  </si>
  <si>
    <t>LACRE MARROM (100); RAMAL 10 MM TRIPLEX (NEUTRO DESENCAPADO) (50)</t>
  </si>
  <si>
    <t>CSC359</t>
  </si>
  <si>
    <t>RCL002</t>
  </si>
  <si>
    <t>51410</t>
  </si>
  <si>
    <t>24-08-2026</t>
  </si>
  <si>
    <t>SEM SALDO</t>
  </si>
  <si>
    <t>24-08-2026 07:07:17</t>
  </si>
  <si>
    <t>26-08-2026 16:22:33</t>
  </si>
  <si>
    <t>52498</t>
  </si>
  <si>
    <t>28-08-2026</t>
  </si>
  <si>
    <t>31-08-2026 11:08:28</t>
  </si>
  <si>
    <t>31-08-2026 15:59:58</t>
  </si>
  <si>
    <t>52497</t>
  </si>
  <si>
    <t>31-08-2026 11:06:29</t>
  </si>
  <si>
    <t>31-08-2026 16:32:09</t>
  </si>
  <si>
    <t>52378</t>
  </si>
  <si>
    <t>CVC354</t>
  </si>
  <si>
    <t>22950</t>
  </si>
  <si>
    <t>EDU DA SILVA</t>
  </si>
  <si>
    <t>23162</t>
  </si>
  <si>
    <t>JEFFERSON DE ALMEIDA OLIVEIRA</t>
  </si>
  <si>
    <t>40</t>
  </si>
  <si>
    <t>28-08-2026 16:19:39</t>
  </si>
  <si>
    <t>28-08-2026 16:34:11</t>
  </si>
  <si>
    <t>52376</t>
  </si>
  <si>
    <t>28-08-2026 15:21:56</t>
  </si>
  <si>
    <t>28-08-2026 15:50:12</t>
  </si>
  <si>
    <t>52368</t>
  </si>
  <si>
    <t>28-08-2026 15:06:45</t>
  </si>
  <si>
    <t>28-08-2026 16:37:14</t>
  </si>
  <si>
    <t>52367</t>
  </si>
  <si>
    <t>25766</t>
  </si>
  <si>
    <t>MATHEUS P DE OLIVEIRA SILVA</t>
  </si>
  <si>
    <t>28-08-2026 14:55:58</t>
  </si>
  <si>
    <t>28-08-2026 17:04:20</t>
  </si>
  <si>
    <t>52366</t>
  </si>
  <si>
    <t>CVC359</t>
  </si>
  <si>
    <t>28-08-2026 14:52:28</t>
  </si>
  <si>
    <t>28-08-2026 16:11:44</t>
  </si>
  <si>
    <t>52361</t>
  </si>
  <si>
    <t>CVC306</t>
  </si>
  <si>
    <t>28-08-2026 14:08:59</t>
  </si>
  <si>
    <t>31-08-2026 10:45:02</t>
  </si>
  <si>
    <t>52358</t>
  </si>
  <si>
    <t>CDC308</t>
  </si>
  <si>
    <t>22743</t>
  </si>
  <si>
    <t>NATA OLIVEIRA DE MENEZES</t>
  </si>
  <si>
    <t>25375</t>
  </si>
  <si>
    <t>JAILDSON DA SILVA SOUZA</t>
  </si>
  <si>
    <t>28-08-2026 13:52:43</t>
  </si>
  <si>
    <t>31-08-2026 10:47:51</t>
  </si>
  <si>
    <t>52347</t>
  </si>
  <si>
    <t>CSC380</t>
  </si>
  <si>
    <t>21948</t>
  </si>
  <si>
    <t>ARINELSON DA SILVA LOPES</t>
  </si>
  <si>
    <t>23088</t>
  </si>
  <si>
    <t>ERICK DE OLIVEIRA COSTA</t>
  </si>
  <si>
    <t>28-08-2026 13:23:42</t>
  </si>
  <si>
    <t>28-08-2026 15:10:43</t>
  </si>
  <si>
    <t>52346</t>
  </si>
  <si>
    <t xml:space="preserve">CDC414 </t>
  </si>
  <si>
    <t>19207</t>
  </si>
  <si>
    <t>WEVERTON DA SILVA SANTOS</t>
  </si>
  <si>
    <t>28-08-2026 13:22:49</t>
  </si>
  <si>
    <t>28-08-2026 16:48:39</t>
  </si>
  <si>
    <t>52345</t>
  </si>
  <si>
    <t>CVC352</t>
  </si>
  <si>
    <t>28-08-2026 13:18:42</t>
  </si>
  <si>
    <t>31-08-2026 08:46:52</t>
  </si>
  <si>
    <t>52344</t>
  </si>
  <si>
    <t>CSC374</t>
  </si>
  <si>
    <t>16776</t>
  </si>
  <si>
    <t>FABIO LEITE ROSA</t>
  </si>
  <si>
    <t>25511</t>
  </si>
  <si>
    <t>FERNANDO SANTIAGO DE OLIVEIRA</t>
  </si>
  <si>
    <t>28-08-2026 13:17:13</t>
  </si>
  <si>
    <t>28-08-2026 13:46:46</t>
  </si>
  <si>
    <t>52308</t>
  </si>
  <si>
    <t xml:space="preserve">Csc338 </t>
  </si>
  <si>
    <t>28-08-2026 11:05:22</t>
  </si>
  <si>
    <t>28-08-2026 17:09:35</t>
  </si>
  <si>
    <t>52306</t>
  </si>
  <si>
    <t>28-08-2026 10:45:33</t>
  </si>
  <si>
    <t>28-08-2026 16:04:08</t>
  </si>
  <si>
    <t>52305</t>
  </si>
  <si>
    <t>28-08-2026 10:43:08</t>
  </si>
  <si>
    <t>28-08-2026 15:15:01</t>
  </si>
  <si>
    <t>52265</t>
  </si>
  <si>
    <t xml:space="preserve">CDC457 </t>
  </si>
  <si>
    <t>25378</t>
  </si>
  <si>
    <t>LUCAS DE SOUZA OLIVEIRA</t>
  </si>
  <si>
    <t>WANDREW VIANA ALVARENGA</t>
  </si>
  <si>
    <t>28-08-2026 08:09:29</t>
  </si>
  <si>
    <t>31-08-2026 13:13:51</t>
  </si>
  <si>
    <t>52261</t>
  </si>
  <si>
    <t>20038</t>
  </si>
  <si>
    <t>MATHEUS IDEZIO R F SANTOS</t>
  </si>
  <si>
    <t>28-08-2026 08:05:03</t>
  </si>
  <si>
    <t>31-08-2026 08:50:42</t>
  </si>
  <si>
    <t>52257</t>
  </si>
  <si>
    <t>28-08-2026 07:58:31</t>
  </si>
  <si>
    <t>28-08-2026 08:27:01</t>
  </si>
  <si>
    <t>52219</t>
  </si>
  <si>
    <t>27-08-2026</t>
  </si>
  <si>
    <t xml:space="preserve">CSC304 </t>
  </si>
  <si>
    <t>21946</t>
  </si>
  <si>
    <t>JEFFERSON HENRIQUE A DA SILVA</t>
  </si>
  <si>
    <t>22739</t>
  </si>
  <si>
    <t>MATEUS DOMINGUES MOURA</t>
  </si>
  <si>
    <t>42</t>
  </si>
  <si>
    <t>27-08-2026 17:24:39</t>
  </si>
  <si>
    <t>27-08-2026 17:53:47</t>
  </si>
  <si>
    <t>52216</t>
  </si>
  <si>
    <t xml:space="preserve">CVC301 </t>
  </si>
  <si>
    <t>INDIRETO WM</t>
  </si>
  <si>
    <t>27-08-2026 17:01:18</t>
  </si>
  <si>
    <t>27-08-2026 17:16:53</t>
  </si>
  <si>
    <t>52207</t>
  </si>
  <si>
    <t>Csc378</t>
  </si>
  <si>
    <t>23931</t>
  </si>
  <si>
    <t>VINICIUS E MACEDO RODRIGUES</t>
  </si>
  <si>
    <t>25517</t>
  </si>
  <si>
    <t>LUIS FERNANDO FURQUIM DE SOUSA</t>
  </si>
  <si>
    <t>SMART METER BIFÁSICO</t>
  </si>
  <si>
    <t>LUIZ FELIPE DOS SANTOS DANTAS</t>
  </si>
  <si>
    <t>27-08-2026 15:08:39</t>
  </si>
  <si>
    <t>27-08-2026 15:11:08</t>
  </si>
  <si>
    <t>52204</t>
  </si>
  <si>
    <t>27-08-2026 14:54:57</t>
  </si>
  <si>
    <t>27-08-2026 17:27:22</t>
  </si>
  <si>
    <t>52202</t>
  </si>
  <si>
    <t>CVC358</t>
  </si>
  <si>
    <t>14568</t>
  </si>
  <si>
    <t>TIAGO SANTIAGO BENEDITO</t>
  </si>
  <si>
    <t>16199</t>
  </si>
  <si>
    <t>DICAEL SOUZA RIBEIRO</t>
  </si>
  <si>
    <t>ILHÓS 10 MM (VERMELHO)</t>
  </si>
  <si>
    <t>27-08-2026 14:47:52</t>
  </si>
  <si>
    <t>28-08-2026 08:19:37</t>
  </si>
  <si>
    <t>52201</t>
  </si>
  <si>
    <t>27-08-2026 14:36:22</t>
  </si>
  <si>
    <t>27-08-2026 17:24:42</t>
  </si>
  <si>
    <t>52199</t>
  </si>
  <si>
    <t>27-08-2026 14:12:05</t>
  </si>
  <si>
    <t>27-08-2026 15:54:42</t>
  </si>
  <si>
    <t>52197</t>
  </si>
  <si>
    <t>NICOLAS DOLIVEIRA CASTRO</t>
  </si>
  <si>
    <t>27-08-2026 14:02:24</t>
  </si>
  <si>
    <t>31-08-2026 08:52:23</t>
  </si>
  <si>
    <t>52186</t>
  </si>
  <si>
    <t>22741</t>
  </si>
  <si>
    <t>27-08-2026 13:39:03</t>
  </si>
  <si>
    <t>31-08-2026 08:54:48</t>
  </si>
  <si>
    <t>52184</t>
  </si>
  <si>
    <t>27-08-2026 13:34:56</t>
  </si>
  <si>
    <t>27-08-2026 16:18:29</t>
  </si>
  <si>
    <t>52179</t>
  </si>
  <si>
    <t>27-08-2026 13:23:32</t>
  </si>
  <si>
    <t>27-08-2026 16:55:55</t>
  </si>
  <si>
    <t>52169</t>
  </si>
  <si>
    <t>PARAF. 16MM X 70MM</t>
  </si>
  <si>
    <t>27-08-2026 12:53:32</t>
  </si>
  <si>
    <t>27-08-2026 16:19:44</t>
  </si>
  <si>
    <t>52166</t>
  </si>
  <si>
    <t>27-08-2026 12:43:50</t>
  </si>
  <si>
    <t>31-08-2026 08:55:53</t>
  </si>
  <si>
    <t>52158</t>
  </si>
  <si>
    <t>27-08-2026 12:25:54</t>
  </si>
  <si>
    <t>27-08-2026 17:45:07</t>
  </si>
  <si>
    <t>52156</t>
  </si>
  <si>
    <t>27-08-2026 12:14:06</t>
  </si>
  <si>
    <t>28-08-2026 08:28:49</t>
  </si>
  <si>
    <t>52145</t>
  </si>
  <si>
    <t>27-08-2026 11:35:11</t>
  </si>
  <si>
    <t>27-08-2026 16:59:28</t>
  </si>
  <si>
    <t>52143</t>
  </si>
  <si>
    <t>27-08-2026 11:29:01</t>
  </si>
  <si>
    <t>28-08-2026 08:10:19</t>
  </si>
  <si>
    <t>ROLDANA PRETA</t>
  </si>
  <si>
    <t>52141</t>
  </si>
  <si>
    <t>27-08-2026 11:25:49</t>
  </si>
  <si>
    <t>28-08-2026 08:01:33</t>
  </si>
  <si>
    <t>52140</t>
  </si>
  <si>
    <t xml:space="preserve">CSC376 </t>
  </si>
  <si>
    <t>18295</t>
  </si>
  <si>
    <t>JOAO VICTOR FREIRE M FERREIRA</t>
  </si>
  <si>
    <t>22720</t>
  </si>
  <si>
    <t>JEFFERSON SILVA DE ARAUJO</t>
  </si>
  <si>
    <t>27-08-2026 11:21:16</t>
  </si>
  <si>
    <t>27-08-2026 16:20:25</t>
  </si>
  <si>
    <t>52126</t>
  </si>
  <si>
    <t xml:space="preserve">RCL005 </t>
  </si>
  <si>
    <t>27-08-2026 10:45:39</t>
  </si>
  <si>
    <t>27-08-2026 16:29:42</t>
  </si>
  <si>
    <t>52099</t>
  </si>
  <si>
    <t>Cvc304</t>
  </si>
  <si>
    <t>27-08-2026 08:41:07</t>
  </si>
  <si>
    <t>27-08-2026 09:17:21</t>
  </si>
  <si>
    <t>52096</t>
  </si>
  <si>
    <t xml:space="preserve">CDC338 </t>
  </si>
  <si>
    <t>24791</t>
  </si>
  <si>
    <t>ISRAEL JOSE M SOBRINHO</t>
  </si>
  <si>
    <t>24765</t>
  </si>
  <si>
    <t>ANDERSON DE SOUZA ALVES</t>
  </si>
  <si>
    <t>27-08-2026 08:33:13</t>
  </si>
  <si>
    <t>27-08-2026 16:48:14</t>
  </si>
  <si>
    <t>52089</t>
  </si>
  <si>
    <t>27-08-2026 08:26:55</t>
  </si>
  <si>
    <t>27-08-2026 08:44:12</t>
  </si>
  <si>
    <t>52085</t>
  </si>
  <si>
    <t>27-08-2026 08:20:08</t>
  </si>
  <si>
    <t>27-08-2026 08:43:13</t>
  </si>
  <si>
    <t>52084</t>
  </si>
  <si>
    <t xml:space="preserve">CSC380 </t>
  </si>
  <si>
    <t>13</t>
  </si>
  <si>
    <t>27-08-2026 08:19:36</t>
  </si>
  <si>
    <t>27-08-2026 08:49:41</t>
  </si>
  <si>
    <t>52049</t>
  </si>
  <si>
    <t>26-08-2026</t>
  </si>
  <si>
    <t>26-08-2026 16:58:32</t>
  </si>
  <si>
    <t>ANDERSON ALEX R VIEIRA</t>
  </si>
  <si>
    <t>26-08-2026 17:14:26</t>
  </si>
  <si>
    <t>CENTRALIZADO DIRETO (NOVO)</t>
  </si>
  <si>
    <t>27</t>
  </si>
  <si>
    <t>52032</t>
  </si>
  <si>
    <t>26-08-2026 14:57:06</t>
  </si>
  <si>
    <t>26-08-2026 17:11:01</t>
  </si>
  <si>
    <t>52031</t>
  </si>
  <si>
    <t>26-08-2026 14:57:02</t>
  </si>
  <si>
    <t>27-08-2026 08:02:36</t>
  </si>
  <si>
    <t>52026</t>
  </si>
  <si>
    <t>26-08-2026 14:47:29</t>
  </si>
  <si>
    <t>27-08-2026 08:17:57</t>
  </si>
  <si>
    <t>52023</t>
  </si>
  <si>
    <t>CSC389</t>
  </si>
  <si>
    <t>23346</t>
  </si>
  <si>
    <t>CAIQUE FONSECA NUNES</t>
  </si>
  <si>
    <t>10102</t>
  </si>
  <si>
    <t>RODRIGO GONCALVES DA SILVA</t>
  </si>
  <si>
    <t>26-08-2026 14:40:39</t>
  </si>
  <si>
    <t>31-08-2026 08:58:37</t>
  </si>
  <si>
    <t>52021</t>
  </si>
  <si>
    <t>26-08-2026 14:39:16</t>
  </si>
  <si>
    <t>27-08-2026 14:11:18</t>
  </si>
  <si>
    <t>52014</t>
  </si>
  <si>
    <t>26-08-2026 14:16:24</t>
  </si>
  <si>
    <t>26-08-2026 17:12:41</t>
  </si>
  <si>
    <t>52013</t>
  </si>
  <si>
    <t>26-08-2026 14:15:38</t>
  </si>
  <si>
    <t>26-08-2026 17:20:53</t>
  </si>
  <si>
    <t>52012</t>
  </si>
  <si>
    <t>26-08-2026 14:15:28</t>
  </si>
  <si>
    <t>26-08-2026 17:29:16</t>
  </si>
  <si>
    <t>52008</t>
  </si>
  <si>
    <t>26-08-2026 14:06:15</t>
  </si>
  <si>
    <t>26-08-2026 16:14:04</t>
  </si>
  <si>
    <t>52006</t>
  </si>
  <si>
    <t>26-08-2026 14:01:17</t>
  </si>
  <si>
    <t>26-08-2026 17:22:53</t>
  </si>
  <si>
    <t>2383301 a 2383400</t>
  </si>
  <si>
    <t>52005</t>
  </si>
  <si>
    <t>26019</t>
  </si>
  <si>
    <t>WILLIAM SILVA NASCIMENTO</t>
  </si>
  <si>
    <t>26-08-2026 14:00:56</t>
  </si>
  <si>
    <t>28-08-2026 17:30:24</t>
  </si>
  <si>
    <t>52002</t>
  </si>
  <si>
    <t xml:space="preserve">CVC357 </t>
  </si>
  <si>
    <t>26-08-2026 13:55:47</t>
  </si>
  <si>
    <t>26-08-2026 17:32:14</t>
  </si>
  <si>
    <t>52000</t>
  </si>
  <si>
    <t>26-08-2026 13:49:15</t>
  </si>
  <si>
    <t>26-08-2026 16:30:24</t>
  </si>
  <si>
    <t>51999</t>
  </si>
  <si>
    <t>CVC360</t>
  </si>
  <si>
    <t>26-08-2026 13:48:26</t>
  </si>
  <si>
    <t>31-08-2026 08:59:45</t>
  </si>
  <si>
    <t>51997</t>
  </si>
  <si>
    <t>26-08-2026 13:44:02</t>
  </si>
  <si>
    <t>26-08-2026 17:55:02</t>
  </si>
  <si>
    <t>51996</t>
  </si>
  <si>
    <t>CVC353</t>
  </si>
  <si>
    <t>26-08-2026 13:42:41</t>
  </si>
  <si>
    <t>26-08-2026 17:29:33</t>
  </si>
  <si>
    <t>Rolo</t>
  </si>
  <si>
    <t>51995</t>
  </si>
  <si>
    <t>26-08-2026 13:41:34</t>
  </si>
  <si>
    <t>26-08-2026 16:55:02</t>
  </si>
  <si>
    <t>51993</t>
  </si>
  <si>
    <t xml:space="preserve">Csc342 </t>
  </si>
  <si>
    <t>26-08-2026 13:39:46</t>
  </si>
  <si>
    <t>26-08-2026 17:40:24</t>
  </si>
  <si>
    <t>51985</t>
  </si>
  <si>
    <t>26-08-2026 13:19:13</t>
  </si>
  <si>
    <t>27-08-2026 08:38:16</t>
  </si>
  <si>
    <t>51984</t>
  </si>
  <si>
    <t>26-08-2026 13:17:41</t>
  </si>
  <si>
    <t>26-08-2026 17:59:19</t>
  </si>
  <si>
    <t>51978</t>
  </si>
  <si>
    <t xml:space="preserve">CSC306 </t>
  </si>
  <si>
    <t>26-08-2026 13:05:28</t>
  </si>
  <si>
    <t>26-08-2026 15:55:25</t>
  </si>
  <si>
    <t>51975</t>
  </si>
  <si>
    <t>53805</t>
  </si>
  <si>
    <t>LUIZ MARQUES BEZERRA</t>
  </si>
  <si>
    <t>26-08-2026 13:02:56</t>
  </si>
  <si>
    <t>27-08-2026 14:10:03</t>
  </si>
  <si>
    <t>51972</t>
  </si>
  <si>
    <t>26-08-2026 12:55:05</t>
  </si>
  <si>
    <t>26-08-2026 15:54:00</t>
  </si>
  <si>
    <t>51959</t>
  </si>
  <si>
    <t>26-08-2026 12:28:50</t>
  </si>
  <si>
    <t>26-08-2026 16:48:16</t>
  </si>
  <si>
    <t>51</t>
  </si>
  <si>
    <t>51957</t>
  </si>
  <si>
    <t>26-08-2026 12:25:41</t>
  </si>
  <si>
    <t>31-08-2026 08:53:17</t>
  </si>
  <si>
    <t>51956</t>
  </si>
  <si>
    <t>CDC456</t>
  </si>
  <si>
    <t>22953</t>
  </si>
  <si>
    <t>JOSE EDUARDO DOMINGOS DE ABREU</t>
  </si>
  <si>
    <t>25436</t>
  </si>
  <si>
    <t>ALEXANDRE HENRIQUE S CREME</t>
  </si>
  <si>
    <t>26-08-2026 12:24:08</t>
  </si>
  <si>
    <t>27-08-2026 14:10:46</t>
  </si>
  <si>
    <t>51941</t>
  </si>
  <si>
    <t>CVC334</t>
  </si>
  <si>
    <t>1 caixa</t>
  </si>
  <si>
    <t>26-08-2026 11:31:11</t>
  </si>
  <si>
    <t>27-08-2026 08:39:54</t>
  </si>
  <si>
    <t>51938</t>
  </si>
  <si>
    <t xml:space="preserve">CDC424 </t>
  </si>
  <si>
    <t>23</t>
  </si>
  <si>
    <t>26-08-2026 11:27:47</t>
  </si>
  <si>
    <t>26-08-2026 17:18:58</t>
  </si>
  <si>
    <t>51927</t>
  </si>
  <si>
    <t>26-08-2026 11:01:45</t>
  </si>
  <si>
    <t>28-08-2026 17:07:52</t>
  </si>
  <si>
    <t>51922</t>
  </si>
  <si>
    <t>26-08-2026 10:33:57</t>
  </si>
  <si>
    <t>27-08-2026 08:08:18</t>
  </si>
  <si>
    <t>51921</t>
  </si>
  <si>
    <t>26-08-2026 10:30:23</t>
  </si>
  <si>
    <t>26-08-2026 17:09:32</t>
  </si>
  <si>
    <t>51901</t>
  </si>
  <si>
    <t>26-08-2026 09:29:19</t>
  </si>
  <si>
    <t>26-08-2026 16:34:51</t>
  </si>
  <si>
    <t>51891</t>
  </si>
  <si>
    <t>RCL003</t>
  </si>
  <si>
    <t>20999</t>
  </si>
  <si>
    <t>CRISTIAN SILVA N DAMASCENO</t>
  </si>
  <si>
    <t>10339</t>
  </si>
  <si>
    <t>JAIME FERREIRA DA ROCHA</t>
  </si>
  <si>
    <t>26-08-2026 09:01:39</t>
  </si>
  <si>
    <t>26-08-2026 17:01:36</t>
  </si>
  <si>
    <t>51885</t>
  </si>
  <si>
    <t>CSC349</t>
  </si>
  <si>
    <t>24237</t>
  </si>
  <si>
    <t>RAFAEL VENANCIO B DOS SANTOS</t>
  </si>
  <si>
    <t>24160</t>
  </si>
  <si>
    <t>DAVID SAMUEL LUIS DE AGUIAR</t>
  </si>
  <si>
    <t>26-08-2026 08:51:16</t>
  </si>
  <si>
    <t>26-08-2026 09:04:34</t>
  </si>
  <si>
    <t>51865</t>
  </si>
  <si>
    <t>Cvc305</t>
  </si>
  <si>
    <t>26-08-2026 08:13:33</t>
  </si>
  <si>
    <t>26-08-2026 08:19:30</t>
  </si>
  <si>
    <t>51860</t>
  </si>
  <si>
    <t>CSC396</t>
  </si>
  <si>
    <t>24879</t>
  </si>
  <si>
    <t>EMMANUEL VICTOR PEREIRA</t>
  </si>
  <si>
    <t>19483</t>
  </si>
  <si>
    <t>CLEBER PENA VIEIRA DA SILVA</t>
  </si>
  <si>
    <t>26-08-2026 07:58:16</t>
  </si>
  <si>
    <t>26-08-2026 08:20:13</t>
  </si>
  <si>
    <t>51853</t>
  </si>
  <si>
    <t>CSC369</t>
  </si>
  <si>
    <t>20142</t>
  </si>
  <si>
    <t>CRISTIANO DE SOUZA SILVA</t>
  </si>
  <si>
    <t>23087</t>
  </si>
  <si>
    <t>DENER NASCIMENTO R PEREIRA</t>
  </si>
  <si>
    <t>26-08-2026 07:48:45</t>
  </si>
  <si>
    <t>27-08-2026 14:09:37</t>
  </si>
  <si>
    <t>51850</t>
  </si>
  <si>
    <t>26-08-2026 07:46:42</t>
  </si>
  <si>
    <t>27-08-2026 08:06:35</t>
  </si>
  <si>
    <t>16</t>
  </si>
  <si>
    <t>51845</t>
  </si>
  <si>
    <t>CSC321</t>
  </si>
  <si>
    <t>25861</t>
  </si>
  <si>
    <t>WELBERT DA ANUNCIACAO AQUINO</t>
  </si>
  <si>
    <t>25764</t>
  </si>
  <si>
    <t>LEONARDO JOAQUIM DOS SANTOS</t>
  </si>
  <si>
    <t>26-08-2026 07:43:06</t>
  </si>
  <si>
    <t>26-08-2026 08:01:54</t>
  </si>
  <si>
    <t>51840</t>
  </si>
  <si>
    <t>CSC372</t>
  </si>
  <si>
    <t>9020</t>
  </si>
  <si>
    <t>TIAGO SOARES NORONHA</t>
  </si>
  <si>
    <t>24163</t>
  </si>
  <si>
    <t>LUIZ GUSTAVO LEANDRO SANTOS</t>
  </si>
  <si>
    <t>26-08-2026 07:38:48</t>
  </si>
  <si>
    <t>26-08-2026 08:24:06</t>
  </si>
  <si>
    <t>51832</t>
  </si>
  <si>
    <t>26-08-2026 07:04:33</t>
  </si>
  <si>
    <t>26-08-2026 07:43:12</t>
  </si>
  <si>
    <t>51823</t>
  </si>
  <si>
    <t>25-08-2026</t>
  </si>
  <si>
    <t xml:space="preserve">CSC318 </t>
  </si>
  <si>
    <t>25-08-2026 17:32:04</t>
  </si>
  <si>
    <t>25-08-2026 17:44:11</t>
  </si>
  <si>
    <t>51820</t>
  </si>
  <si>
    <t>25-08-2026 17:06:42</t>
  </si>
  <si>
    <t>25-08-2026 17:15:44</t>
  </si>
  <si>
    <t>51810</t>
  </si>
  <si>
    <t>Csc304</t>
  </si>
  <si>
    <t>25-08-2026 16:21:55</t>
  </si>
  <si>
    <t>25-08-2026 16:43:09</t>
  </si>
  <si>
    <t>51798</t>
  </si>
  <si>
    <t>25-08-2026 15:01:52</t>
  </si>
  <si>
    <t>25-08-2026 17:29:03</t>
  </si>
  <si>
    <t>51797</t>
  </si>
  <si>
    <t>25-08-2026 15:00:13</t>
  </si>
  <si>
    <t>26-08-2026 08:33:39</t>
  </si>
  <si>
    <t>51795</t>
  </si>
  <si>
    <t xml:space="preserve">Pacote </t>
  </si>
  <si>
    <t>25-08-2026 14:54:54</t>
  </si>
  <si>
    <t>26-08-2026 08:30:49</t>
  </si>
  <si>
    <t>51792</t>
  </si>
  <si>
    <t>25-08-2026 14:47:00</t>
  </si>
  <si>
    <t>26-08-2026 08:27:35</t>
  </si>
  <si>
    <t>51791</t>
  </si>
  <si>
    <t>25-08-2026 14:43:13</t>
  </si>
  <si>
    <t>26-08-2026 07:48:29</t>
  </si>
  <si>
    <t>51788</t>
  </si>
  <si>
    <t>CDC335</t>
  </si>
  <si>
    <t>24767</t>
  </si>
  <si>
    <t>CAMILO PEREIRA DE LIMA</t>
  </si>
  <si>
    <t>24794</t>
  </si>
  <si>
    <t>LEONARDO JOSE SOARES</t>
  </si>
  <si>
    <t>25-08-2026 14:33:15</t>
  </si>
  <si>
    <t>25-08-2026 17:24:02</t>
  </si>
  <si>
    <t>51787</t>
  </si>
  <si>
    <t>25-08-2026 14:32:30</t>
  </si>
  <si>
    <t>25-08-2026 16:44:33</t>
  </si>
  <si>
    <t>51785</t>
  </si>
  <si>
    <t>25-08-2026 14:26:37</t>
  </si>
  <si>
    <t>25-08-2026 17:10:28</t>
  </si>
  <si>
    <t>51784</t>
  </si>
  <si>
    <t>25-08-2026 14:25:55</t>
  </si>
  <si>
    <t>25-08-2026 17:26:22</t>
  </si>
  <si>
    <t>51783</t>
  </si>
  <si>
    <t>CVC363</t>
  </si>
  <si>
    <t>25-08-2026 14:25:49</t>
  </si>
  <si>
    <t>25-08-2026 17:34:17</t>
  </si>
  <si>
    <t>51782</t>
  </si>
  <si>
    <t>CVC304</t>
  </si>
  <si>
    <t>25-08-2026 14:10:08</t>
  </si>
  <si>
    <t>25-08-2026 16:06:15</t>
  </si>
  <si>
    <t>48</t>
  </si>
  <si>
    <t>51780</t>
  </si>
  <si>
    <t>CDC408</t>
  </si>
  <si>
    <t>25719</t>
  </si>
  <si>
    <t>KELY DUARTE FURTADO</t>
  </si>
  <si>
    <t>24 unidades</t>
  </si>
  <si>
    <t>25-08-2026 14:05:51</t>
  </si>
  <si>
    <t>25-08-2026 17:12:40</t>
  </si>
  <si>
    <t>50 Piercing</t>
  </si>
  <si>
    <t>100 metros</t>
  </si>
  <si>
    <t>51779</t>
  </si>
  <si>
    <t>Cdc325</t>
  </si>
  <si>
    <t>24773</t>
  </si>
  <si>
    <t>EDERSON BARBOSA BATISTA</t>
  </si>
  <si>
    <t>25509</t>
  </si>
  <si>
    <t>DIEGO MOURA DA SILVA</t>
  </si>
  <si>
    <t>25-08-2026 14:03:12</t>
  </si>
  <si>
    <t>25-08-2026 16:56:13</t>
  </si>
  <si>
    <t>51777</t>
  </si>
  <si>
    <t>CVC307</t>
  </si>
  <si>
    <t>19062</t>
  </si>
  <si>
    <t>KEVIN CHRISTIAN LAPA TARGINO</t>
  </si>
  <si>
    <t>18610</t>
  </si>
  <si>
    <t>HENRIQUE VELLOSO LEITE</t>
  </si>
  <si>
    <t>25-08-2026 13:59:35</t>
  </si>
  <si>
    <t>25-08-2026 16:30:21</t>
  </si>
  <si>
    <t>51767</t>
  </si>
  <si>
    <t xml:space="preserve">CDC459 </t>
  </si>
  <si>
    <t>25-08-2026 13:36:55</t>
  </si>
  <si>
    <t>25-08-2026 16:35:14</t>
  </si>
  <si>
    <t>51758</t>
  </si>
  <si>
    <t>25-08-2026 13:01:21</t>
  </si>
  <si>
    <t>25-08-2026 15:27:49</t>
  </si>
  <si>
    <t>51756</t>
  </si>
  <si>
    <t>25-08-2026 13:00:17</t>
  </si>
  <si>
    <t>25-08-2026 16:09:38</t>
  </si>
  <si>
    <t>51744</t>
  </si>
  <si>
    <t xml:space="preserve">CDC446 </t>
  </si>
  <si>
    <t>19913</t>
  </si>
  <si>
    <t>FELIPE RODRIGUES HARO</t>
  </si>
  <si>
    <t>25942</t>
  </si>
  <si>
    <t>WILLIAM MANUEL BOLIVAR NOGUERA</t>
  </si>
  <si>
    <t>25-08-2026 12:38:43</t>
  </si>
  <si>
    <t>25-08-2026 16:21:03</t>
  </si>
  <si>
    <t>51732</t>
  </si>
  <si>
    <t>25-08-2026 12:16:52</t>
  </si>
  <si>
    <t>25-08-2026 18:01:15</t>
  </si>
  <si>
    <t>51717</t>
  </si>
  <si>
    <t>CSC378</t>
  </si>
  <si>
    <t>25-08-2026 11:32:52</t>
  </si>
  <si>
    <t>25-08-2026 16:57:40</t>
  </si>
  <si>
    <t>51711</t>
  </si>
  <si>
    <t>CSC367</t>
  </si>
  <si>
    <t>17967</t>
  </si>
  <si>
    <t>UMBERTO CORREIA DOS SANTOS JR</t>
  </si>
  <si>
    <t>17966</t>
  </si>
  <si>
    <t>RAFAEL DE ALMEIDA COSTA DINIZ</t>
  </si>
  <si>
    <t>25-08-2026 11:14:22</t>
  </si>
  <si>
    <t>25-08-2026 17:19:32</t>
  </si>
  <si>
    <t>51706</t>
  </si>
  <si>
    <t>25-08-2026 10:47:59</t>
  </si>
  <si>
    <t>25-08-2026 17:49:27</t>
  </si>
  <si>
    <t>51705</t>
  </si>
  <si>
    <t xml:space="preserve">CSC312 </t>
  </si>
  <si>
    <t>25-08-2026 10:45:33</t>
  </si>
  <si>
    <t>25-08-2026 16:16:08</t>
  </si>
  <si>
    <t>51701</t>
  </si>
  <si>
    <t xml:space="preserve">CVC338 </t>
  </si>
  <si>
    <t>25-08-2026 10:22:35</t>
  </si>
  <si>
    <t>26-08-2026 07:38:53</t>
  </si>
  <si>
    <t>51700</t>
  </si>
  <si>
    <t>CVC305</t>
  </si>
  <si>
    <t>25-08-2026 10:17:42</t>
  </si>
  <si>
    <t>25-08-2026 16:41:51</t>
  </si>
  <si>
    <t>51685</t>
  </si>
  <si>
    <t xml:space="preserve">Rcl001 </t>
  </si>
  <si>
    <t>PARAF. 16MM X 150MM</t>
  </si>
  <si>
    <t>25-08-2026 08:56:21</t>
  </si>
  <si>
    <t>26-08-2026 07:33:00</t>
  </si>
  <si>
    <t>51679</t>
  </si>
  <si>
    <t>CSC385</t>
  </si>
  <si>
    <t>22730</t>
  </si>
  <si>
    <t>HUGO LAERTE SANTOS DA SILVA</t>
  </si>
  <si>
    <t>10646</t>
  </si>
  <si>
    <t>ATILA SACRAMENTO SILVA</t>
  </si>
  <si>
    <t>PARAF. 16MM X 45MM</t>
  </si>
  <si>
    <t>25-08-2026 08:46:15</t>
  </si>
  <si>
    <t>25-08-2026 09:36:24</t>
  </si>
  <si>
    <t>22</t>
  </si>
  <si>
    <t>51678</t>
  </si>
  <si>
    <t xml:space="preserve">Csc337 </t>
  </si>
  <si>
    <t>25-08-2026 08:45:20</t>
  </si>
  <si>
    <t>25-08-2026 16:40:29</t>
  </si>
  <si>
    <t>51673</t>
  </si>
  <si>
    <t>25-08-2026 08:36:20</t>
  </si>
  <si>
    <t>25-08-2026 09:34:09</t>
  </si>
  <si>
    <t>51670</t>
  </si>
  <si>
    <t>25-08-2026 08:28:22</t>
  </si>
  <si>
    <t>25-08-2026 08:38:20</t>
  </si>
  <si>
    <t>51665</t>
  </si>
  <si>
    <t xml:space="preserve">CSC323 </t>
  </si>
  <si>
    <t>25-08-2026 08:20:10</t>
  </si>
  <si>
    <t>25-08-2026 08:40:06</t>
  </si>
  <si>
    <t>51661</t>
  </si>
  <si>
    <t xml:space="preserve">CVC300 </t>
  </si>
  <si>
    <t>25-08-2026 08:17:52</t>
  </si>
  <si>
    <t>25-08-2026 17:02:25</t>
  </si>
  <si>
    <t>51654</t>
  </si>
  <si>
    <t>CSC344</t>
  </si>
  <si>
    <t>25-08-2026 08:06:28</t>
  </si>
  <si>
    <t>25-08-2026 16:34:52</t>
  </si>
  <si>
    <t>51651</t>
  </si>
  <si>
    <t>25-08-2026 08:04:32</t>
  </si>
  <si>
    <t>25-08-2026 17:24:37</t>
  </si>
  <si>
    <t>51650</t>
  </si>
  <si>
    <t>25-08-2026 08:02:19</t>
  </si>
  <si>
    <t>25-08-2026 08:39:09</t>
  </si>
  <si>
    <t>51645</t>
  </si>
  <si>
    <t>25-08-2026 07:54:44</t>
  </si>
  <si>
    <t>26-08-2026 08:11:11</t>
  </si>
  <si>
    <t>51642</t>
  </si>
  <si>
    <t xml:space="preserve">CVC309 </t>
  </si>
  <si>
    <t>25-08-2026 07:52:34</t>
  </si>
  <si>
    <t>26-08-2026 08:24:49</t>
  </si>
  <si>
    <t>51641</t>
  </si>
  <si>
    <t>25-08-2026 07:51:56</t>
  </si>
  <si>
    <t>26-08-2026 09:45:59</t>
  </si>
  <si>
    <t>51634</t>
  </si>
  <si>
    <t>25-08-2026 07:36:39</t>
  </si>
  <si>
    <t>26-08-2026 07:54:33</t>
  </si>
  <si>
    <t>51605</t>
  </si>
  <si>
    <t>24-08-2026 17:37:21</t>
  </si>
  <si>
    <t>25-08-2026 07:42:40</t>
  </si>
  <si>
    <t>51591</t>
  </si>
  <si>
    <t>24-08-2026 15:59:35</t>
  </si>
  <si>
    <t>24-08-2026 16:51:32</t>
  </si>
  <si>
    <t>17</t>
  </si>
  <si>
    <t>51587</t>
  </si>
  <si>
    <t>24-08-2026 14:48:09</t>
  </si>
  <si>
    <t>24-08-2026 16:37:36</t>
  </si>
  <si>
    <t>51585</t>
  </si>
  <si>
    <t>23367</t>
  </si>
  <si>
    <t>VINICIUS SILVA SA</t>
  </si>
  <si>
    <t>24-08-2026 14:41:16</t>
  </si>
  <si>
    <t>24-08-2026 16:30:51</t>
  </si>
  <si>
    <t>51582</t>
  </si>
  <si>
    <t>CDC452</t>
  </si>
  <si>
    <t>20827</t>
  </si>
  <si>
    <t>CAIO ANTONIO TEOFILO</t>
  </si>
  <si>
    <t>25508</t>
  </si>
  <si>
    <t>DAVI CARDOSO CESAR</t>
  </si>
  <si>
    <t>24-08-2026 14:25:30</t>
  </si>
  <si>
    <t>25-08-2026 07:58:28</t>
  </si>
  <si>
    <t>51579</t>
  </si>
  <si>
    <t>25767</t>
  </si>
  <si>
    <t>VICENTE JOSE DA SILVA CORREIA</t>
  </si>
  <si>
    <t>24-08-2026 14:11:40</t>
  </si>
  <si>
    <t>24-08-2026 16:43:37</t>
  </si>
  <si>
    <t>51567</t>
  </si>
  <si>
    <t>24-08-2026 13:48:18</t>
  </si>
  <si>
    <t>24-08-2026 17:23:59</t>
  </si>
  <si>
    <t>51566</t>
  </si>
  <si>
    <t>24-08-2026 13:47:28</t>
  </si>
  <si>
    <t>24-08-2026 16:41:43</t>
  </si>
  <si>
    <t>51560</t>
  </si>
  <si>
    <t xml:space="preserve"> 24 Medidor </t>
  </si>
  <si>
    <t>24-08-2026 13:28:14</t>
  </si>
  <si>
    <t>24-08-2026 16:48:22</t>
  </si>
  <si>
    <t>51559</t>
  </si>
  <si>
    <t>24-08-2026 13:27:27</t>
  </si>
  <si>
    <t>25-08-2026 07:41:11</t>
  </si>
  <si>
    <t>51557</t>
  </si>
  <si>
    <t>24-08-2026 13:25:49</t>
  </si>
  <si>
    <t>24-08-2026 16:18:52</t>
  </si>
  <si>
    <t>51552</t>
  </si>
  <si>
    <t>24-08-2026 13:19:07</t>
  </si>
  <si>
    <t>24-08-2026 16:04:15</t>
  </si>
  <si>
    <t>51550</t>
  </si>
  <si>
    <t>24-08-2026 13:17:14</t>
  </si>
  <si>
    <t>24-08-2026 17:23:06</t>
  </si>
  <si>
    <t>51542</t>
  </si>
  <si>
    <t>24-08-2026 12:55:43</t>
  </si>
  <si>
    <t>26-08-2026 17:11:18</t>
  </si>
  <si>
    <t>51535</t>
  </si>
  <si>
    <t>24-08-2026 12:35:43</t>
  </si>
  <si>
    <t>24-08-2026 15:35:25</t>
  </si>
  <si>
    <t>51533</t>
  </si>
  <si>
    <t>24-08-2026 12:34:18</t>
  </si>
  <si>
    <t>24-08-2026 15:54:21</t>
  </si>
  <si>
    <t>51532</t>
  </si>
  <si>
    <t>CSC346</t>
  </si>
  <si>
    <t>25187</t>
  </si>
  <si>
    <t>THIAGO RAMADAN BARROS</t>
  </si>
  <si>
    <t>25520</t>
  </si>
  <si>
    <t>RAFAEL DI PIETRO MARTINATI</t>
  </si>
  <si>
    <t>24-08-2026 12:33:59</t>
  </si>
  <si>
    <t>25-08-2026 08:05:08</t>
  </si>
  <si>
    <t>51517</t>
  </si>
  <si>
    <t>64</t>
  </si>
  <si>
    <t>24-08-2026 11:52:26</t>
  </si>
  <si>
    <t>24-08-2026 17:21:56</t>
  </si>
  <si>
    <t>51501</t>
  </si>
  <si>
    <t>24-08-2026 11:09:00</t>
  </si>
  <si>
    <t>24-08-2026 16:33:28</t>
  </si>
  <si>
    <t xml:space="preserve">4902232908 </t>
  </si>
  <si>
    <t>51499</t>
  </si>
  <si>
    <t xml:space="preserve">CDC447 </t>
  </si>
  <si>
    <t>24-08-2026 10:59:51</t>
  </si>
  <si>
    <t>24-08-2026 16:49:53</t>
  </si>
  <si>
    <t>51478</t>
  </si>
  <si>
    <t>CSC345</t>
  </si>
  <si>
    <t>18437</t>
  </si>
  <si>
    <t>ALAN NUNES DE OLIVEIRA</t>
  </si>
  <si>
    <t>19486</t>
  </si>
  <si>
    <t>BRENO CARVALHO DO NASCIMENTO</t>
  </si>
  <si>
    <t>24-08-2026 09:41:10</t>
  </si>
  <si>
    <t>24-08-2026 16:56:47</t>
  </si>
  <si>
    <t>51475</t>
  </si>
  <si>
    <t>24-08-2026 09:38:22</t>
  </si>
  <si>
    <t>24-08-2026 16:39:18</t>
  </si>
  <si>
    <t>51464</t>
  </si>
  <si>
    <t>24-08-2026 09:16:09</t>
  </si>
  <si>
    <t>24-08-2026 17:43:25</t>
  </si>
  <si>
    <t>51463</t>
  </si>
  <si>
    <t>24-08-2026 09:15:17</t>
  </si>
  <si>
    <t>24-08-2026 16:50:48</t>
  </si>
  <si>
    <t>51455</t>
  </si>
  <si>
    <t>24-08-2026 08:40:53</t>
  </si>
  <si>
    <t>24-08-2026 10:43:58</t>
  </si>
  <si>
    <t>51446</t>
  </si>
  <si>
    <t>24-08-2026 08:15:56</t>
  </si>
  <si>
    <t>24-08-2026 10:23:34</t>
  </si>
  <si>
    <t>51442</t>
  </si>
  <si>
    <t>24-08-2026 08:13:09</t>
  </si>
  <si>
    <t>24-08-2026 08:52:08</t>
  </si>
  <si>
    <t>51437</t>
  </si>
  <si>
    <t>24-08-2026 08:03:09</t>
  </si>
  <si>
    <t>24-08-2026 16:58:59</t>
  </si>
  <si>
    <t>51433</t>
  </si>
  <si>
    <t>24-08-2026 07:58:40</t>
  </si>
  <si>
    <t>24-08-2026 17:12:57</t>
  </si>
  <si>
    <t>51427</t>
  </si>
  <si>
    <t>24-08-2026 07:46:18</t>
  </si>
  <si>
    <t>26-08-2026 11:28:48</t>
  </si>
  <si>
    <t>FITA ISOLANTE (2); CENTRALIZADO DIRETO (30); LACRE MARROM (50); ESTRELA FORÇA (12); DELTA SMART (24)</t>
  </si>
  <si>
    <t>CABO 50 MM  NOVO (QUADRUPLEX) (40); TC 200 (3)</t>
  </si>
  <si>
    <t>LACRE MARROM (100); ESTRELA FORÇA (12)</t>
  </si>
  <si>
    <t>LACRE MARROM (100); DELTA SMART (12); RAMAL 10 MM TRIPLEX (NEUTRO DESENCAPADO) (50)</t>
  </si>
  <si>
    <t>PARAFUSO MÉDIO (20); LACRE MARROM (100); FITA ISOLANTE (2); ESTRELA FORÇA (12)</t>
  </si>
  <si>
    <t>ESTRELA FORÇA (4); ESTRELA LUZ (10)</t>
  </si>
  <si>
    <t>ESTRELA LUZ (2); ESTRELA FORÇA (2); FITA ISOLANTE (2)</t>
  </si>
  <si>
    <t>DELTA SMART (12); FITA ISOLANTE (1); RAMAL 10 MM TRIPLEX (NEUTRO DESENCAPADO) (50)</t>
  </si>
  <si>
    <t>RAMAL 10 MM (QUADRUPLEX) (100); FITA ISOLANTE (2)</t>
  </si>
  <si>
    <t>LACRE MARROM (100); RAMAL 10 MM TRIPLEX (NEUTRO DESENCAPADO) (100)</t>
  </si>
  <si>
    <t>RAMAL 10 MM TRIPLEX (NEUTRO DESENCAPADO) (50); DELTA SMART (20)</t>
  </si>
  <si>
    <t>DELTA SMART (18); RAMAL 10 MM TRIPLEX (NEUTRO DESENCAPADO) (50)</t>
  </si>
  <si>
    <t>CDC457</t>
  </si>
  <si>
    <t>ALÇA 10 MM (10); FITA ISOLANTE (3); ESTRELA LUZ (6); ESTRELA FORÇA (6); DELTA SMART (12); LACRE PRETO (50); LACRE MARROM (100); RAMAL 10 MM TRIPLEX (NEUTRO DESENCAPADO) (50)</t>
  </si>
  <si>
    <t>CABO 25 MM  (QUADRUPLEX) (30); ALÇA 25 MM (25)</t>
  </si>
  <si>
    <t>TRIFASICO INDIRETO GD (1)</t>
  </si>
  <si>
    <t>CSC304</t>
  </si>
  <si>
    <t>DELTA SMART (42); FITA ISOLANTE (3); ESTRELA FORÇA (14)</t>
  </si>
  <si>
    <t>INDIRETO WM (2); TC 200 (6); CABO 25 MM  (QUADRUPLEX) (30); CABO 50 MM  NOVO (QUADRUPLEX) (30)</t>
  </si>
  <si>
    <t>SMART METER BIFÁSICO (18)</t>
  </si>
  <si>
    <t>RAMAL 10 MM TRIPLEX (NEUTRO DESENCAPADO) (100); DELTA SMART (30)</t>
  </si>
  <si>
    <t>ILHÓS 10 MM (VERMELHO) (100); FITA ISOLANTE (2); DELTA SMART (12); RAMAL 10 MM TRIPLEX (NEUTRO DESENCAPADO) (50)</t>
  </si>
  <si>
    <t>DELTA SMART (12); LACRE MARROM (100); FITA ISOLANTE (2)</t>
  </si>
  <si>
    <t>DELTA SMART (18); LACRE MARROM (100); RAMAL 10 MM TRIPLEX (NEUTRO DESENCAPADO) (50)</t>
  </si>
  <si>
    <t>CABO 25 MM (TRIPLEX) (30); LACRE MARROM (100); FITA ISOLANTE (2)</t>
  </si>
  <si>
    <t>LACRE MARROM (100); FITA ISOLANTE (2); RAMAL 10 MM TRIPLEX (NEUTRO DESENCAPADO) (50); RAMAL 10 MM (QUADRUPLEX) (50)</t>
  </si>
  <si>
    <t>RAMAL 10 MM TRIPLEX (NEUTRO DESENCAPADO) (50); ESTRELA FORÇA (6); DELTA SMART (6); LACRE MARROM (100)</t>
  </si>
  <si>
    <t>DELTA SMART (30); ESTRELA FORÇA (20); LACRE MARROM (50); FITA ISOLANTE (2); RAMAL 10 MM TRIPLEX (NEUTRO DESENCAPADO) (50)</t>
  </si>
  <si>
    <t>PARAF. 16MM X 70MM (100); LACRE MARROM (100); DELTA SMART (6); ESTRELA FORÇA (12); FITA ISOLANTE (1)</t>
  </si>
  <si>
    <t>FITA ISOLANTE (2); RAMAL 10 MM TRIPLEX (NEUTRO DESENCAPADO) (100)</t>
  </si>
  <si>
    <t>DELTA SMART (12); RAMAL 10 MM TRIPLEX (NEUTRO DESENCAPADO) (50)</t>
  </si>
  <si>
    <t>LACRE MARROM (100); DELTA SMART (30)</t>
  </si>
  <si>
    <t>LACRE MARROM (100); FITA ISOLANTE (1); PARAFUSO MÉDIO (100); DELTA SMART (24)</t>
  </si>
  <si>
    <t>ALÇA PARA CABO BICONCENTRICO (20); ROLDANA PRETA (50); CABO BICONCENTRICO NOVO (100)</t>
  </si>
  <si>
    <t>CAIXA DERIVAÇÃO GDE (1); CAIXA MD. UNIFICADA (12); CABO BICONCENTRICO NOVO (100)</t>
  </si>
  <si>
    <t>CSC376</t>
  </si>
  <si>
    <t>DELTA SMART (6)</t>
  </si>
  <si>
    <t>LACRE MARROM (100); DELTA SMART (24); FITA ISOLANTE (3); CAIXA MD. UNIFICADA (12)</t>
  </si>
  <si>
    <t>CABO 50 MM  NOVO (QUADRUPLEX) (30); RAMAL 10 MM TRIPLEX (NEUTRO DESENCAPADO) (50); TRIFASICO INDIRETO (2); TC 200 (6); CABO 25 MM  (QUADRUPLEX) (30)</t>
  </si>
  <si>
    <t>CDC338</t>
  </si>
  <si>
    <t>LACRE MARROM (100); ESTRELA FORÇA (6); ESTRELA LUZ (5); DELTA SMART (12)</t>
  </si>
  <si>
    <t>PARAFUSO MÉDIO (20); TRIFASICO INDIRETO GD (3)</t>
  </si>
  <si>
    <t>FITA ISOLANTE (1); RAMAL 10 MM TRIPLEX (NEUTRO DESENCAPADO) (50); DELTA SMART (18)</t>
  </si>
  <si>
    <t>DELTA SMART (13)</t>
  </si>
  <si>
    <t>FITA ISOLANTE (1); CENTRALIZADO DIRETO (NOVO) (20)</t>
  </si>
  <si>
    <t>1 (6); RAMAL 10 MM (QUADRUPLEX) (50); DELTA SMART (6)</t>
  </si>
  <si>
    <t>ALÇA 50 MM (2); ESTRELA FORÇA (10); CABO 50 MM  NOVO (QUADRUPLEX) (30)</t>
  </si>
  <si>
    <t>LACRE PRETO (50); RAMAL 10 MM (QUADRUPLEX) (50); ILHÓS 10 MM (VERMELHO) (50); FITA ISOLANTE (5); LACRE MARROM (50)</t>
  </si>
  <si>
    <t>ESTRELA FORÇA (12); DELTA SMART (12)</t>
  </si>
  <si>
    <t>DELTA SMART (24); ESTRELA FORÇA (12)</t>
  </si>
  <si>
    <t>ESTRELA LUZ BIFÁSICO (NOVO) (14); DELTA SMART (6)</t>
  </si>
  <si>
    <t>ESTRELA FORÇA (3); CENTRALIZADO DIRETO (NOVO) (9); TRIFASICO INDIRETO (1)</t>
  </si>
  <si>
    <t>FITA ISOLANTE (2); LACRE MARROM (100); ESTRELA FORÇA (18)</t>
  </si>
  <si>
    <t>RAMAL 10 MM TRIPLEX (NEUTRO DESENCAPADO) (100); ESTRELA FORÇA (6)</t>
  </si>
  <si>
    <t>CVC357</t>
  </si>
  <si>
    <t>DELTA SMART (12); PIERCING TP3 (30); PIERCING GRANDE (30)</t>
  </si>
  <si>
    <t>CENTRALIZADO DIRETO (NOVO) (12); DELTA SMART (12); PIERCING GRANDE (25)</t>
  </si>
  <si>
    <t>RAMAL 10 MM TRIPLEX (NEUTRO DESENCAPADO) (50); FITA ISOLANTE (1)</t>
  </si>
  <si>
    <t>RAMAL 10 MM TRIPLEX (NEUTRO DESENCAPADO) (50); DELTA SMART (18)</t>
  </si>
  <si>
    <t>DELTA SMART (4); RAMAL 10 MM (QUADRUPLEX) (50)</t>
  </si>
  <si>
    <t>OUTROS (100); FITA ISOLANTE (2); RAMAL 10 MM TRIPLEX (NEUTRO DESENCAPADO) (100); CABO 70 MM  (QUADRUPLEX) (30); CENTRALIZADO DIRETO (36)</t>
  </si>
  <si>
    <t>FITA ISOLANTE (2); DELTA SMART (12); LACRE MARROM (100)</t>
  </si>
  <si>
    <t>LACRE MARROM (100); ESTRELA LUZ (6); DELTA SMART (12); FITA ISOLANTE (3)</t>
  </si>
  <si>
    <t>RAMAL 10 MM TRIPLEX (NEUTRO DESENCAPADO) (100); FITA ISOLANTE (1); DELTA SMART (12); LACRE MARROM (100)</t>
  </si>
  <si>
    <t>DELTA SMART (12); PIERCING TP3 (25); PIERCING GRANDE (25)</t>
  </si>
  <si>
    <t>TRIFASICO INDIRETO (2); TC 200 (3)</t>
  </si>
  <si>
    <t>LACRE MARROM (50); FITA ISOLANTE (2); PARAFUSO GRANDE (50); CENTRALIZADO DIRETO (30)</t>
  </si>
  <si>
    <t>FITA ISOLANTE (2); RAMAL 10 MM TRIPLEX (NEUTRO DESENCAPADO) (50)</t>
  </si>
  <si>
    <t>ESTRELA FORÇA (6); FITA ISOLANTE (2)</t>
  </si>
  <si>
    <t>CENTRALIZADO DIRETO (23)</t>
  </si>
  <si>
    <t>LACRE MARROM (100); DELTA SMART (30); RAMAL 10 MM (QUADRUPLEX) (50); RAMAL 10 MM TRIPLEX (NEUTRO DESENCAPADO) (50)</t>
  </si>
  <si>
    <t>DELTA SMART (36); FITA ISOLANTE (5)</t>
  </si>
  <si>
    <t>LACRE MARROM (100); CAIXA MD. UNIFICADA (10)</t>
  </si>
  <si>
    <t>LACRE PRETO (100); LACRE MARROM (100); FITA ISOLANTE (5); DELTA SMART (6)</t>
  </si>
  <si>
    <t>LACRE MARROM (100)</t>
  </si>
  <si>
    <t>ESTRELA LUZ (4); PIERCING GRANDE SOC (20)</t>
  </si>
  <si>
    <t>DELTA SMART (12); FITA ISOLANTE (1); CAIXA MD. UNIFICADA (16); CABO BICONCENTRICO NOVO (200)</t>
  </si>
  <si>
    <t>DELTA SMART (12); ESTRELA FORÇA (6)</t>
  </si>
  <si>
    <t>LACRE MARROM (50); CENTRALIZADO DIRETO (12)</t>
  </si>
  <si>
    <t>TC 200 (3)</t>
  </si>
  <si>
    <t>TC 200 (3); TRIFASICO INDIRETO (1)</t>
  </si>
  <si>
    <t>TRIFASICO INDIRETO (1); TC 200 (3)</t>
  </si>
  <si>
    <t>TRIFASICO INDIRETO GD (2); TRIFASICO INDIRETO (2)</t>
  </si>
  <si>
    <t>LACRE MARROM (100); FITA ISOLANTE (2); RAMAL 10 MM TRIPLEX (NEUTRO DESENCAPADO) (100)</t>
  </si>
  <si>
    <t>LACRE MARROM (100); FITA ISOLANTE (1)</t>
  </si>
  <si>
    <t>LACRE MARROM (100); FITA ISOLANTE (3); CENTRALIZADO DIRETO (12); CABO 25 MM  (QUADRUPLEX) (30)</t>
  </si>
  <si>
    <t>ESTRELA FORÇA (10); RAMAL 10 MM TRIPLEX (NEUTRO DESENCAPADO) (50); LACRE MARROM (100)</t>
  </si>
  <si>
    <t>DELTA SMART (12); FITA ISOLANTE (2); RAMAL 10 MM TRIPLEX (NEUTRO DESENCAPADO) (50); ESTRELA FORÇA (4); ALÇA 25 MM (10)</t>
  </si>
  <si>
    <t>ESTRELA LUZ BIFÁSICO (NOVO) (6); RAMAL 10 MM TRIPLEX (NEUTRO DESENCAPADO) (100)</t>
  </si>
  <si>
    <t>ESTRELA LUZ BIFÁSICO (NOVO) (24); ESTRELA FORÇA (24)</t>
  </si>
  <si>
    <t>RAMAL 10 MM TRIPLEX (NEUTRO DESENCAPADO) (50); FITA ISOLANTE (3); DELTA SMART (6); LACRE MARROM (25)</t>
  </si>
  <si>
    <t>CENTRALIZADO DIRETO (NOVO) (1); FITA ISOLANTE (4); CENTRALIZADO DIRETO (30)</t>
  </si>
  <si>
    <t>RAMAL 10 MM TRIPLEX (NEUTRO DESENCAPADO) (50); LACRE MARROM (100); DELTA SMART (50); FITA ISOLANTE (2)</t>
  </si>
  <si>
    <t>DELTA SMART (24); ESTRELA LUZ BIFÁSICO (NOVO) (10); FITA ISOLANTE (3); ESTRELA FORÇA (10); TRIFASICO INDIRETO GD (1); RAMAL 10 MM TRIPLEX (NEUTRO DESENCAPADO) (100)</t>
  </si>
  <si>
    <t>CDC325</t>
  </si>
  <si>
    <t>LACRE PRETO (2); FITA ISOLANTE (2)</t>
  </si>
  <si>
    <t>DELTA SMART (18); CENTRALIZADO DIRETO (NOVO) (12); PARAFUSO MÉDIO (50); ESTRELA LUZ (10); ESTRELA FORÇA (10); TRIFASICO INDIRETO GD (2); ESTRELA FORÇA GD (2); CABO 25 MM  (QUADRUPLEX) (30)</t>
  </si>
  <si>
    <t>LACRE MARROM (50); FITA ISOLANTE (2)</t>
  </si>
  <si>
    <t>DELTA SMART (18); LACRE MARROM (50)</t>
  </si>
  <si>
    <t>CDC446</t>
  </si>
  <si>
    <t>DELTA GD (3); DELTA SMART (12); LACRE MARROM (50); ESTRELA LUZ (2)</t>
  </si>
  <si>
    <t>FITA ISOLANTE (1); LACRE MARROM (100); TRIFASICO INDIRETO GD (1); DELTA GD (1)</t>
  </si>
  <si>
    <t>CENTRALIZADO DIRETO (NOVO) (10)</t>
  </si>
  <si>
    <t>LACRE MARROM (25); FITA ISOLANTE (1); CENTRALIZADO DIRETO (NOVO) (25)</t>
  </si>
  <si>
    <t>FITA ISOLANTE (2); LACRE MARROM (100); DELTA SMART (30)</t>
  </si>
  <si>
    <t>ESTRELA LUZ (24); DELTA SMART (30); FITA ISOLANTE (2); RAMAL 10 MM TRIPLEX (NEUTRO DESENCAPADO) (50)</t>
  </si>
  <si>
    <t>CVC338</t>
  </si>
  <si>
    <t>TRIFASICO INDIRETO GD (2); TC 200 (6); TRIFASICO INDIRETO (3); DELTA SMART (30); LACRE MARROM (50)</t>
  </si>
  <si>
    <t>PARAF. 16MM X 150MM (25); FITA ISOLANTE (1)</t>
  </si>
  <si>
    <t>PARAF. 16MM X 45MM (20); CENTRALIZADO DIRETO (20)</t>
  </si>
  <si>
    <t>FITA ISOLANTE (2); RAMAL 10 MM (QUADRUPLEX) (100); RAMAL 10 MM TRIPLEX (NEUTRO DESENCAPADO) (50)</t>
  </si>
  <si>
    <t>CENTRALIZADO DIRETO (50)</t>
  </si>
  <si>
    <t>CABO 25 MM (TRIPLEX) (30)</t>
  </si>
  <si>
    <t>TRIFASICO INDIRETO GD (3)</t>
  </si>
  <si>
    <t>RAMAL 10 MM TRIPLEX (NEUTRO DESENCAPADO) (50); FITA ISOLANTE (5); LACRE MARROM (100); DELTA SMART (36)</t>
  </si>
  <si>
    <t>LACRE MARROM (1); RAMAL 10 MM TRIPLEX (NEUTRO DESENCAPADO) (100)</t>
  </si>
  <si>
    <t>FITA ISOLANTE (2)</t>
  </si>
  <si>
    <t>LACRE MARROM (100); TRIFASICO INDIRETO (1)</t>
  </si>
  <si>
    <t>CVC309</t>
  </si>
  <si>
    <t>CENTRALIZADO DIRETO (NOVO) (18); TC 200 (6)</t>
  </si>
  <si>
    <t>FITA ISOLANTE (2); RAMAL 10 MM (QUADRUPLEX) (50); RAMAL 10 MM TRIPLEX (NEUTRO DESENCAPADO) (50)</t>
  </si>
  <si>
    <t>DELTA SMART (24); FITA ISOLANTE (2); LACRE MARROM (100); CAIXA MD. UNIFICADA (18); CABO BICONCENTRICO NOVO (200)</t>
  </si>
  <si>
    <t>TRIFASICO INDIRETO (1); TRIFASICO INDIRETO GD (1); TC 200 (6)</t>
  </si>
  <si>
    <t>TRIFASICO INDIRETO (7); TC 200 (17)</t>
  </si>
  <si>
    <t>DELTA SMART (30)</t>
  </si>
  <si>
    <t>RAMAL 10 MM TRIPLEX (NEUTRO DESENCAPADO) (100); LACRE MARROM (100); PARAFUSO GRANDE (50)</t>
  </si>
  <si>
    <t>RAMAL 10 MM (QUADRUPLEX) (100); PARAFUSO MÉDIO (50); PARAFUSO PEQUENO (50); DELTA SMART (12)</t>
  </si>
  <si>
    <t>DELTA SMART (24); RAMAL 10 MM TRIPLEX (NEUTRO DESENCAPADO) (50)</t>
  </si>
  <si>
    <t>LACRE MARROM (100); PARAFUSO MÉDIO (100); DELTA SMART (24); ESTRELA FORÇA (6)</t>
  </si>
  <si>
    <t>DELTA SMART (12); LACRE MARROM (50)</t>
  </si>
  <si>
    <t>LACRE MARROM (100); DELTA SMART (18)</t>
  </si>
  <si>
    <t>CABO 25 MM  (QUADRUPLEX) (30); OUTROS (100); CENTRALIZADO DIRETO (50); RAMAL 10 MM TRIPLEX (NEUTRO DESENCAPADO) (100)</t>
  </si>
  <si>
    <t>RAMAL 10 MM TRIPLEX (NEUTRO DESENCAPADO) (50); PIERCING TP3 (25); PIERCING GRANDE (25); LACRE MARROM (50)</t>
  </si>
  <si>
    <t>LACRE MARROM (100); DELTA SMART (12)</t>
  </si>
  <si>
    <t>CENTRALIZADO DIRETO (64); LACRE MARROM (100)</t>
  </si>
  <si>
    <t>DELTA SMART (30); CAIXA MD. UNIFICADA (10)</t>
  </si>
  <si>
    <t>DELTA SMART (12); LACRE MARROM (100); RAMAL 10 MM TRIPLEX (NEUTRO DESENCAPADO) (50)</t>
  </si>
  <si>
    <t>RAMAL 10 MM (QUADRUPLEX) (100); RAMAL 10 MM TRIPLEX (NEUTRO DESENCAPADO) (50); LACRE MARROM (100)</t>
  </si>
  <si>
    <t>ESTRELA FORÇA (12); DELTA SMART (24); RAMAL 10 MM TRIPLEX (NEUTRO DESENCAPADO) (50)</t>
  </si>
  <si>
    <t>DELTA SMART (30); CABO 25 MM (TRIPLEX) (30); RAMAL 10 MM TRIPLEX (NEUTRO DESENCAPADO) (50)</t>
  </si>
  <si>
    <t>24/08</t>
  </si>
  <si>
    <t>25/08</t>
  </si>
  <si>
    <t>26/08</t>
  </si>
  <si>
    <t>27/08</t>
  </si>
  <si>
    <t>28/08</t>
  </si>
  <si>
    <t>31/08</t>
  </si>
  <si>
    <t>Atualizado em 01/09/2026 09:23:02 | 159 fichas consolidadas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</si>
</sst>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\ &quot;min&quot;"/>
    <numFmt numFmtId="165" formatCode="dd/mm/yyyy\ hh:mm:ss"/>
    <numFmt numFmtId="166" formatCode="0.0"/>
  </numFmts>
  <fonts count="27" x14ac:knownFonts="1"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C05026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F172A"/>
      <name val="Aptos"/>
      <family val="2"/>
    </font>
    <font>
      <b/>
      <sz val="11"/>
      <color rgb="FFFFFFFF"/>
      <name val="Aptos"/>
      <family val="2"/>
    </font>
    <font>
      <sz val="10"/>
      <color rgb="FF7B648B"/>
      <name val="Aptos"/>
      <family val="2"/>
    </font>
    <font>
      <b/>
      <sz val="10"/>
      <color rgb="FF7B648B"/>
      <name val="Aptos"/>
      <family val="2"/>
    </font>
    <font>
      <sz val="10"/>
      <color rgb="FF0F172A"/>
      <name val="Aptos"/>
      <family val="2"/>
    </font>
    <font>
      <sz val="9"/>
      <color rgb="FF7B648B"/>
      <name val="Aptos"/>
      <family val="2"/>
    </font>
    <font>
      <u/>
      <sz val="11"/>
      <color theme="10"/>
      <name val="Aptos Narrow"/>
      <family val="2"/>
      <scheme val="minor"/>
    </font>
    <font>
      <b/>
      <u/>
      <sz val="11"/>
      <color rgb="FF2563EB"/>
      <name val="Aptos Narrow"/>
      <family val="2"/>
      <scheme val="minor"/>
    </font>
    <font>
      <b/>
      <sz val="21"/>
      <color rgb="FFFFFFFF"/>
      <name val="Aptos"/>
      <family val="2"/>
    </font>
    <font>
      <b/>
      <sz val="23"/>
      <color rgb="FF14B8A6"/>
      <name val="Aptos"/>
      <family val="2"/>
    </font>
    <font>
      <b/>
      <sz val="23"/>
      <color rgb="FFF59E0B"/>
      <name val="Aptos"/>
      <family val="2"/>
    </font>
    <font>
      <b/>
      <sz val="23"/>
      <color rgb="FFEF4444"/>
      <name val="Aptos"/>
      <family val="2"/>
    </font>
    <font>
      <b/>
      <sz val="23"/>
      <color rgb="FF0F172A"/>
      <name val="Aptos"/>
      <family val="2"/>
    </font>
    <font>
      <b/>
      <sz val="23"/>
      <color rgb="FF2563EB"/>
      <name val="Aptos"/>
      <family val="2"/>
    </font>
    <font>
      <b/>
      <sz val="14"/>
      <color theme="1"/>
      <name val="Aptos Narrow"/>
      <family val="2"/>
      <scheme val="minor"/>
    </font>
    <font>
      <sz val="11"/>
      <color rgb="FF008060"/>
      <name val="Aptos Narrow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6"/>
      <color rgb="FFFFFFFF"/>
      <name val="Aptos"/>
      <family val="2"/>
    </font>
    <font>
      <i/>
      <sz val="10"/>
      <color rgb="FF666666"/>
      <name val="Aptos"/>
      <family val="2"/>
    </font>
    <font>
      <b/>
      <sz val="10"/>
      <color theme="1"/>
      <name val="Aptos"/>
      <family val="2"/>
    </font>
    <font>
      <i/>
      <sz val="10"/>
      <color rgb="FF777777"/>
      <name val="Aptos"/>
      <family val="2"/>
    </font>
  </fonts>
  <fills count="13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356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8FAFB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0F3252"/>
        <bgColor indexed="64"/>
      </patternFill>
    </fill>
    <fill>
      <patternFill patternType="solid">
        <fgColor rgb="FF0677D9"/>
        <bgColor indexed="64"/>
      </patternFill>
    </fill>
    <fill>
      <patternFill patternType="solid">
        <fgColor rgb="FFFCF9F7"/>
        <bgColor indexed="64"/>
      </patternFill>
    </fill>
  </fills>
  <borders count="9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6E6E6"/>
      </left>
      <right style="thin">
        <color rgb="FFE6E6E6"/>
      </right>
      <top style="thin">
        <color rgb="FFE6E6E6"/>
      </top>
      <bottom style="thin">
        <color rgb="FFE6E6E6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F2E1D9"/>
      </left>
      <right style="thin">
        <color rgb="FFF2E1D9"/>
      </right>
      <top style="thin">
        <color rgb="FFF2E1D9"/>
      </top>
      <bottom style="thin">
        <color rgb="FFF2E1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1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2" fillId="0" borderId="0" xfId="0" applyFont="1"/>
    <xf numFmtId="0" fontId="0" fillId="0" borderId="0" xfId="0" pivotButton="1"/>
    <xf numFmtId="0" fontId="1" fillId="2" borderId="2" xfId="0" applyFont="1" applyFill="1" applyBorder="1"/>
    <xf numFmtId="0" fontId="0" fillId="3" borderId="2" xfId="0" applyFill="1" applyBorder="1"/>
    <xf numFmtId="0" fontId="0" fillId="4" borderId="2" xfId="0" applyFill="1" applyBorder="1"/>
    <xf numFmtId="0" fontId="0" fillId="0" borderId="2" xfId="0" applyBorder="1"/>
    <xf numFmtId="0" fontId="0" fillId="7" borderId="3" xfId="0" applyFill="1" applyBorder="1"/>
    <xf numFmtId="0" fontId="5" fillId="8" borderId="0" xfId="0" applyFont="1" applyFill="1"/>
    <xf numFmtId="0" fontId="1" fillId="2" borderId="5" xfId="0" applyFont="1" applyFill="1" applyBorder="1"/>
    <xf numFmtId="1" fontId="0" fillId="0" borderId="0" xfId="0" applyNumberFormat="1"/>
    <xf numFmtId="1" fontId="0" fillId="0" borderId="3" xfId="0" applyNumberFormat="1" applyBorder="1"/>
    <xf numFmtId="0" fontId="19" fillId="0" borderId="0" xfId="0" applyFont="1"/>
    <xf numFmtId="165" fontId="1" fillId="2" borderId="1" xfId="0" applyNumberFormat="1" applyFont="1" applyFill="1" applyBorder="1"/>
    <xf numFmtId="165" fontId="0" fillId="3" borderId="1" xfId="0" applyNumberFormat="1" applyFill="1" applyBorder="1"/>
    <xf numFmtId="165" fontId="0" fillId="4" borderId="1" xfId="0" applyNumberFormat="1" applyFill="1" applyBorder="1"/>
    <xf numFmtId="165" fontId="0" fillId="0" borderId="1" xfId="0" applyNumberFormat="1" applyBorder="1"/>
    <xf numFmtId="165" fontId="0" fillId="0" borderId="0" xfId="0" applyNumberFormat="1"/>
    <xf numFmtId="166" fontId="1" fillId="2" borderId="5" xfId="0" applyNumberFormat="1" applyFont="1" applyFill="1" applyBorder="1"/>
    <xf numFmtId="166" fontId="0" fillId="0" borderId="0" xfId="0" applyNumberFormat="1"/>
    <xf numFmtId="0" fontId="20" fillId="0" borderId="0" xfId="0" applyFont="1" applyAlignment="1">
      <alignment wrapText="1"/>
    </xf>
    <xf numFmtId="0" fontId="21" fillId="0" borderId="0" xfId="0" applyFont="1"/>
    <xf numFmtId="0" fontId="22" fillId="11" borderId="6" xfId="0" applyFont="1" applyFill="1" applyBorder="1" applyAlignment="1">
      <alignment horizontal="center"/>
    </xf>
    <xf numFmtId="0" fontId="25" fillId="12" borderId="6" xfId="0" applyFont="1" applyFill="1" applyBorder="1"/>
    <xf numFmtId="0" fontId="22" fillId="10" borderId="6" xfId="0" applyFont="1" applyFill="1" applyBorder="1"/>
    <xf numFmtId="1" fontId="21" fillId="12" borderId="6" xfId="0" applyNumberFormat="1" applyFont="1" applyFill="1" applyBorder="1" applyAlignment="1">
      <alignment horizontal="center"/>
    </xf>
    <xf numFmtId="9" fontId="21" fillId="12" borderId="6" xfId="0" applyNumberFormat="1" applyFont="1" applyFill="1" applyBorder="1" applyAlignment="1">
      <alignment horizontal="center"/>
    </xf>
    <xf numFmtId="1" fontId="22" fillId="10" borderId="6" xfId="0" applyNumberFormat="1" applyFont="1" applyFill="1" applyBorder="1" applyAlignment="1">
      <alignment horizontal="center"/>
    </xf>
    <xf numFmtId="9" fontId="22" fillId="10" borderId="6" xfId="0" applyNumberFormat="1" applyFont="1" applyFill="1" applyBorder="1" applyAlignment="1">
      <alignment horizontal="center"/>
    </xf>
    <xf numFmtId="14" fontId="0" fillId="3" borderId="1" xfId="0" applyNumberFormat="1" applyFill="1" applyBorder="1"/>
    <xf numFmtId="14" fontId="0" fillId="0" borderId="1" xfId="0" applyNumberFormat="1" applyBorder="1"/>
    <xf numFmtId="14" fontId="0" fillId="4" borderId="1" xfId="0" applyNumberFormat="1" applyFill="1" applyBorder="1"/>
    <xf numFmtId="16" fontId="0" fillId="0" borderId="0" xfId="0" applyNumberFormat="1"/>
    <xf numFmtId="0" fontId="0" fillId="3" borderId="7" xfId="0" applyFill="1" applyBorder="1"/>
    <xf numFmtId="0" fontId="0" fillId="3" borderId="8" xfId="0" applyFill="1" applyBorder="1"/>
    <xf numFmtId="165" fontId="0" fillId="3" borderId="8" xfId="0" applyNumberFormat="1" applyFill="1" applyBorder="1"/>
    <xf numFmtId="0" fontId="23" fillId="10" borderId="0" xfId="0" applyFont="1" applyFill="1" applyAlignment="1">
      <alignment horizontal="center"/>
    </xf>
    <xf numFmtId="0" fontId="24" fillId="0" borderId="0" xfId="0" applyFont="1" applyAlignment="1">
      <alignment horizontal="center"/>
    </xf>
    <xf numFmtId="0" fontId="26" fillId="0" borderId="0" xfId="0" applyFont="1" applyAlignment="1">
      <alignment wrapText="1"/>
    </xf>
    <xf numFmtId="0" fontId="6" fillId="9" borderId="0" xfId="0" applyFont="1" applyFill="1"/>
    <xf numFmtId="0" fontId="9" fillId="5" borderId="4" xfId="0" applyFont="1" applyFill="1" applyBorder="1" applyAlignment="1">
      <alignment vertical="center" wrapText="1"/>
    </xf>
    <xf numFmtId="0" fontId="5" fillId="5" borderId="4" xfId="0" applyFont="1" applyFill="1" applyBorder="1" applyAlignment="1">
      <alignment vertical="center" wrapText="1"/>
    </xf>
    <xf numFmtId="0" fontId="10" fillId="8" borderId="0" xfId="0" applyFont="1" applyFill="1"/>
    <xf numFmtId="0" fontId="5" fillId="8" borderId="0" xfId="0" applyFont="1" applyFill="1"/>
    <xf numFmtId="0" fontId="12" fillId="8" borderId="0" xfId="1" applyFont="1" applyFill="1" applyAlignment="1">
      <alignment horizontal="right"/>
    </xf>
    <xf numFmtId="0" fontId="5" fillId="8" borderId="0" xfId="0" applyFont="1" applyFill="1" applyAlignment="1">
      <alignment horizontal="right"/>
    </xf>
    <xf numFmtId="0" fontId="13" fillId="9" borderId="0" xfId="0" applyFont="1" applyFill="1" applyAlignment="1">
      <alignment horizontal="left" vertical="center"/>
    </xf>
    <xf numFmtId="0" fontId="5" fillId="9" borderId="0" xfId="0" applyFont="1" applyFill="1" applyAlignment="1">
      <alignment horizontal="left" vertical="center"/>
    </xf>
    <xf numFmtId="0" fontId="7" fillId="8" borderId="0" xfId="0" applyFont="1" applyFill="1"/>
    <xf numFmtId="0" fontId="8" fillId="5" borderId="4" xfId="0" applyFont="1" applyFill="1" applyBorder="1" applyAlignment="1">
      <alignment horizontal="center"/>
    </xf>
    <xf numFmtId="1" fontId="14" fillId="5" borderId="4" xfId="0" applyNumberFormat="1" applyFont="1" applyFill="1" applyBorder="1" applyAlignment="1">
      <alignment horizontal="center"/>
    </xf>
    <xf numFmtId="0" fontId="14" fillId="5" borderId="4" xfId="0" applyFont="1" applyFill="1" applyBorder="1" applyAlignment="1">
      <alignment horizontal="center"/>
    </xf>
    <xf numFmtId="1" fontId="15" fillId="5" borderId="4" xfId="0" applyNumberFormat="1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1" fontId="16" fillId="5" borderId="4" xfId="0" applyNumberFormat="1" applyFont="1" applyFill="1" applyBorder="1" applyAlignment="1">
      <alignment horizontal="center"/>
    </xf>
    <xf numFmtId="0" fontId="16" fillId="5" borderId="4" xfId="0" applyFont="1" applyFill="1" applyBorder="1" applyAlignment="1">
      <alignment horizontal="center"/>
    </xf>
    <xf numFmtId="164" fontId="17" fillId="5" borderId="4" xfId="0" applyNumberFormat="1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1" fontId="18" fillId="5" borderId="4" xfId="0" applyNumberFormat="1" applyFont="1" applyFill="1" applyBorder="1" applyAlignment="1">
      <alignment horizontal="center"/>
    </xf>
    <xf numFmtId="0" fontId="18" fillId="5" borderId="4" xfId="0" applyFont="1" applyFill="1" applyBorder="1" applyAlignment="1">
      <alignment horizontal="center"/>
    </xf>
    <xf numFmtId="0" fontId="3" fillId="6" borderId="0" xfId="0" applyFont="1" applyFill="1"/>
    <xf numFmtId="0" fontId="0" fillId="6" borderId="0" xfId="0" applyFill="1"/>
    <xf numFmtId="0" fontId="4" fillId="3" borderId="0" xfId="0" applyFont="1" applyFill="1"/>
    <xf numFmtId="0" fontId="0" fillId="3" borderId="0" xfId="0" applyFill="1"/>
    <xf numFmtId="0" fontId="1" fillId="6" borderId="0" xfId="0" applyFont="1" applyFill="1"/>
    <xf numFmtId="0" fontId="0" fillId="0" borderId="0" xfId="0" applyNumberFormat="1"/>
  </cellXfs>
  <cellStyles count="2">
    <cellStyle name="Hiperlink" xfId="1" builtinId="8"/>
    <cellStyle name="Normal" xfId="0" builtinId="0"/>
  </cellStyles>
  <dxfs count="5">
    <dxf>
      <numFmt numFmtId="166" formatCode="0.0"/>
    </dxf>
    <dxf>
      <numFmt numFmtId="165" formatCode="dd/mm/yyyy\ hh:mm:ss"/>
    </dxf>
    <dxf>
      <numFmt numFmtId="165" formatCode="dd/mm/yyyy\ hh:mm:ss"/>
    </dxf>
    <dxf>
      <border outline="0">
        <left style="thin">
          <color rgb="FFD9D9D9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3864"/>
        </patternFill>
      </fill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Situacao das fichas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Dashboard!$AB$2</c:f>
              <c:strCache>
                <c:ptCount val="1"/>
                <c:pt idx="0">
                  <c:v>Fichas</c:v>
                </c:pt>
              </c:strCache>
            </c:strRef>
          </c:tx>
          <c:dPt>
            <c:idx val="0"/>
            <c:bubble3D val="0"/>
            <c:spPr>
              <a:solidFill>
                <a:srgbClr val="EF4444"/>
              </a:solidFill>
            </c:spPr>
            <c:extLst>
              <c:ext xmlns:c16="http://schemas.microsoft.com/office/drawing/2014/chart" uri="{C3380CC4-5D6E-409C-BE32-E72D297353CC}">
                <c16:uniqueId val="{00000004-8063-41AB-AF91-60DB73C81792}"/>
              </c:ext>
            </c:extLst>
          </c:dPt>
          <c:dPt>
            <c:idx val="1"/>
            <c:bubble3D val="0"/>
            <c:spPr>
              <a:solidFill>
                <a:srgbClr val="F59E0B"/>
              </a:solidFill>
            </c:spPr>
            <c:extLst>
              <c:ext xmlns:c16="http://schemas.microsoft.com/office/drawing/2014/chart" uri="{C3380CC4-5D6E-409C-BE32-E72D297353CC}">
                <c16:uniqueId val="{00000005-8063-41AB-AF91-60DB73C81792}"/>
              </c:ext>
            </c:extLst>
          </c:dPt>
          <c:dPt>
            <c:idx val="2"/>
            <c:bubble3D val="0"/>
            <c:spPr>
              <a:solidFill>
                <a:srgbClr val="2563EB"/>
              </a:solidFill>
            </c:spPr>
            <c:extLst>
              <c:ext xmlns:c16="http://schemas.microsoft.com/office/drawing/2014/chart" uri="{C3380CC4-5D6E-409C-BE32-E72D297353CC}">
                <c16:uniqueId val="{00000006-8063-41AB-AF91-60DB73C81792}"/>
              </c:ext>
            </c:extLst>
          </c:dPt>
          <c:dPt>
            <c:idx val="3"/>
            <c:bubble3D val="0"/>
            <c:spPr>
              <a:solidFill>
                <a:srgbClr val="7B648B"/>
              </a:solidFill>
            </c:spPr>
            <c:extLst>
              <c:ext xmlns:c16="http://schemas.microsoft.com/office/drawing/2014/chart" uri="{C3380CC4-5D6E-409C-BE32-E72D297353CC}">
                <c16:uniqueId val="{00000007-8063-41AB-AF91-60DB73C8179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Dashboard!$AA$3:$AA$6</c:f>
              <c:strCache>
                <c:ptCount val="4"/>
                <c:pt idx="0">
                  <c:v>Rapidas manha ate 2h</c:v>
                </c:pt>
                <c:pt idx="1">
                  <c:v>Demais finalizadas manha</c:v>
                </c:pt>
                <c:pt idx="2">
                  <c:v>Finalizadas tarde</c:v>
                </c:pt>
                <c:pt idx="3">
                  <c:v>Nao finalizadas</c:v>
                </c:pt>
              </c:strCache>
            </c:strRef>
          </c:cat>
          <c:val>
            <c:numRef>
              <c:f>Dashboard!$AB$3:$AB$6</c:f>
              <c:numCache>
                <c:formatCode>0</c:formatCode>
                <c:ptCount val="4"/>
                <c:pt idx="0">
                  <c:v>17</c:v>
                </c:pt>
                <c:pt idx="1">
                  <c:v>37</c:v>
                </c:pt>
                <c:pt idx="2">
                  <c:v>105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63-41AB-AF91-60DB73C81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Encerramentos matinais por dia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Dashboard!$AL$2</c:f>
              <c:strCache>
                <c:ptCount val="1"/>
                <c:pt idx="0">
                  <c:v>Finalizadas Manha</c:v>
                </c:pt>
              </c:strCache>
            </c:strRef>
          </c:tx>
          <c:spPr>
            <a:solidFill>
              <a:srgbClr val="F59E0B"/>
            </a:solidFill>
          </c:spPr>
          <c:invertIfNegative val="0"/>
          <c:cat>
            <c:strRef>
              <c:f>Dashboard!$AK$3:$AK$8</c:f>
              <c:strCache>
                <c:ptCount val="6"/>
                <c:pt idx="0">
                  <c:v>24/08</c:v>
                </c:pt>
                <c:pt idx="1">
                  <c:v>25/08</c:v>
                </c:pt>
                <c:pt idx="2">
                  <c:v>26/08</c:v>
                </c:pt>
                <c:pt idx="3">
                  <c:v>27/08</c:v>
                </c:pt>
                <c:pt idx="4">
                  <c:v>28/08</c:v>
                </c:pt>
                <c:pt idx="5">
                  <c:v>31/08</c:v>
                </c:pt>
              </c:strCache>
            </c:strRef>
          </c:cat>
          <c:val>
            <c:numRef>
              <c:f>Dashboard!$AL$3:$AL$8</c:f>
              <c:numCache>
                <c:formatCode>General</c:formatCode>
                <c:ptCount val="6"/>
                <c:pt idx="0">
                  <c:v>3</c:v>
                </c:pt>
                <c:pt idx="1">
                  <c:v>9</c:v>
                </c:pt>
                <c:pt idx="2">
                  <c:v>17</c:v>
                </c:pt>
                <c:pt idx="3">
                  <c:v>10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28-4D55-98B9-A125791B396C}"/>
            </c:ext>
          </c:extLst>
        </c:ser>
        <c:ser>
          <c:idx val="1"/>
          <c:order val="1"/>
          <c:tx>
            <c:strRef>
              <c:f>Dashboard!$AM$2</c:f>
              <c:strCache>
                <c:ptCount val="1"/>
                <c:pt idx="0">
                  <c:v>Rapidas ate 2h</c:v>
                </c:pt>
              </c:strCache>
            </c:strRef>
          </c:tx>
          <c:spPr>
            <a:solidFill>
              <a:srgbClr val="EF4444"/>
            </a:solidFill>
          </c:spPr>
          <c:invertIfNegative val="0"/>
          <c:cat>
            <c:strRef>
              <c:f>Dashboard!$AK$3:$AK$8</c:f>
              <c:strCache>
                <c:ptCount val="6"/>
                <c:pt idx="0">
                  <c:v>24/08</c:v>
                </c:pt>
                <c:pt idx="1">
                  <c:v>25/08</c:v>
                </c:pt>
                <c:pt idx="2">
                  <c:v>26/08</c:v>
                </c:pt>
                <c:pt idx="3">
                  <c:v>27/08</c:v>
                </c:pt>
                <c:pt idx="4">
                  <c:v>28/08</c:v>
                </c:pt>
                <c:pt idx="5">
                  <c:v>31/08</c:v>
                </c:pt>
              </c:strCache>
            </c:strRef>
          </c:cat>
          <c:val>
            <c:numRef>
              <c:f>Dashboard!$AM$3:$AM$8</c:f>
              <c:numCache>
                <c:formatCode>General</c:formatCode>
                <c:ptCount val="6"/>
                <c:pt idx="0">
                  <c:v>1</c:v>
                </c:pt>
                <c:pt idx="1">
                  <c:v>5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28-4D55-98B9-A125791B3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800336"/>
        <c:axId val="3716016"/>
      </c:barChart>
      <c:catAx>
        <c:axId val="16580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16016"/>
        <c:crosses val="autoZero"/>
        <c:auto val="1"/>
        <c:lblAlgn val="ctr"/>
        <c:lblOffset val="100"/>
        <c:noMultiLvlLbl val="0"/>
      </c:catAx>
      <c:valAx>
        <c:axId val="371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8003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Top 10 recursos por finalizacoes na manha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Dashboard!$AG$2</c:f>
              <c:strCache>
                <c:ptCount val="1"/>
                <c:pt idx="0">
                  <c:v>Finalizadas Manha</c:v>
                </c:pt>
              </c:strCache>
            </c:strRef>
          </c:tx>
          <c:spPr>
            <a:solidFill>
              <a:srgbClr val="F59E0B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Dashboard!$AF$3:$AF$12</c:f>
              <c:strCache>
                <c:ptCount val="10"/>
                <c:pt idx="0">
                  <c:v>CSC302</c:v>
                </c:pt>
                <c:pt idx="1">
                  <c:v>RCL001</c:v>
                </c:pt>
                <c:pt idx="2">
                  <c:v>CDC414</c:v>
                </c:pt>
                <c:pt idx="3">
                  <c:v>CSC316</c:v>
                </c:pt>
                <c:pt idx="4">
                  <c:v>CSC337</c:v>
                </c:pt>
                <c:pt idx="5">
                  <c:v>CSC359</c:v>
                </c:pt>
                <c:pt idx="6">
                  <c:v>CSC380</c:v>
                </c:pt>
                <c:pt idx="7">
                  <c:v>CVC352</c:v>
                </c:pt>
                <c:pt idx="8">
                  <c:v>CVC358</c:v>
                </c:pt>
                <c:pt idx="9">
                  <c:v>RCL002</c:v>
                </c:pt>
              </c:strCache>
            </c:strRef>
          </c:cat>
          <c:val>
            <c:numRef>
              <c:f>Dashboard!$AG$3:$AG$12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CB-471F-8D61-9783C482E559}"/>
            </c:ext>
          </c:extLst>
        </c:ser>
        <c:ser>
          <c:idx val="1"/>
          <c:order val="1"/>
          <c:tx>
            <c:strRef>
              <c:f>Dashboard!$AH$2</c:f>
              <c:strCache>
                <c:ptCount val="1"/>
                <c:pt idx="0">
                  <c:v>Rapidas ate 2h</c:v>
                </c:pt>
              </c:strCache>
            </c:strRef>
          </c:tx>
          <c:spPr>
            <a:solidFill>
              <a:srgbClr val="EF444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Dashboard!$AF$3:$AF$12</c:f>
              <c:strCache>
                <c:ptCount val="10"/>
                <c:pt idx="0">
                  <c:v>CSC302</c:v>
                </c:pt>
                <c:pt idx="1">
                  <c:v>RCL001</c:v>
                </c:pt>
                <c:pt idx="2">
                  <c:v>CDC414</c:v>
                </c:pt>
                <c:pt idx="3">
                  <c:v>CSC316</c:v>
                </c:pt>
                <c:pt idx="4">
                  <c:v>CSC337</c:v>
                </c:pt>
                <c:pt idx="5">
                  <c:v>CSC359</c:v>
                </c:pt>
                <c:pt idx="6">
                  <c:v>CSC380</c:v>
                </c:pt>
                <c:pt idx="7">
                  <c:v>CVC352</c:v>
                </c:pt>
                <c:pt idx="8">
                  <c:v>CVC358</c:v>
                </c:pt>
                <c:pt idx="9">
                  <c:v>RCL002</c:v>
                </c:pt>
              </c:strCache>
            </c:strRef>
          </c:cat>
          <c:val>
            <c:numRef>
              <c:f>Dashboard!$AH$3:$AH$12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CB-471F-8D61-9783C482E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811008"/>
        <c:axId val="3718896"/>
      </c:barChart>
      <c:catAx>
        <c:axId val="16581100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3718896"/>
        <c:crosses val="autoZero"/>
        <c:auto val="1"/>
        <c:lblAlgn val="ctr"/>
        <c:lblOffset val="100"/>
        <c:noMultiLvlLbl val="0"/>
      </c:catAx>
      <c:valAx>
        <c:axId val="3718896"/>
        <c:scaling>
          <c:orientation val="minMax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crossAx val="165811008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55938D-2811-0CAB-EA45-4A4779157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FCF6A7-004F-2E5B-4A60-E709C8DF95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16</xdr:col>
      <xdr:colOff>0</xdr:colOff>
      <xdr:row>49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45D717A-7672-698B-2A88-70718655F5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4</xdr:row>
      <xdr:rowOff>0</xdr:rowOff>
    </xdr:from>
    <xdr:to>
      <xdr:col>22</xdr:col>
      <xdr:colOff>2286000</xdr:colOff>
      <xdr:row>6</xdr:row>
      <xdr:rowOff>50800</xdr:rowOff>
    </xdr:to>
    <xdr:sp macro="AtualizarTempla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9941659-D5FB-F82F-CD9C-EF6EBB76EC77}"/>
            </a:ext>
          </a:extLst>
        </xdr:cNvPr>
        <xdr:cNvSpPr/>
      </xdr:nvSpPr>
      <xdr:spPr>
        <a:xfrm>
          <a:off x="16935450" y="2905125"/>
          <a:ext cx="2286000" cy="431800"/>
        </a:xfrm>
        <a:prstGeom prst="roundRect">
          <a:avLst/>
        </a:prstGeom>
        <a:solidFill>
          <a:srgbClr val="2563E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ATUALIZAR AGORA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erson Alex Rosario Vieira" refreshedDate="46279.470459837961" createdVersion="6" refreshedVersion="8" minRefreshableVersion="3" recordCount="159" xr:uid="{262A5752-969D-4918-9B00-BE57F42EAAFC}">
  <cacheSource type="worksheet">
    <worksheetSource name="tbBaseDetalhada"/>
  </cacheSource>
  <cacheFields count="21">
    <cacheField name="Ficha" numFmtId="0">
      <sharedItems containsSemiMixedTypes="0" containsString="0" containsNumber="1" containsInteger="1" minValue="51410" maxValue="52498"/>
    </cacheField>
    <cacheField name="Data" numFmtId="0">
      <sharedItems/>
    </cacheField>
    <cacheField name="Base" numFmtId="0">
      <sharedItems/>
    </cacheField>
    <cacheField name="Area" numFmtId="0">
      <sharedItems containsBlank="1"/>
    </cacheField>
    <cacheField name="Recurso" numFmtId="0">
      <sharedItems count="143">
        <s v="CVC330"/>
        <s v="CSC305"/>
        <s v="CSC319"/>
        <s v="CVC354"/>
        <s v="CSC322"/>
        <s v="CSC395"/>
        <s v="CSC310"/>
        <s v="CVC359"/>
        <s v="CVC306"/>
        <s v="CDC308"/>
        <s v="CSC380"/>
        <s v="CDC414"/>
        <s v="CVC352"/>
        <s v="CSC374"/>
        <s v="CSC338"/>
        <s v="CSC308"/>
        <s v="CDC457"/>
        <s v="CDC449"/>
        <s v="CSC327"/>
        <s v="CSC304"/>
        <s v="CVC301"/>
        <s v="CSC378"/>
        <s v="CSC302"/>
        <s v="CVC358"/>
        <s v="CVC332"/>
        <s v="CSC324"/>
        <s v="CSC325"/>
        <s v="CSC337"/>
        <s v="CSC306"/>
        <s v="CSC343"/>
        <s v="CSC300"/>
        <s v="RCL001"/>
        <s v="RCL002"/>
        <s v="CSC376"/>
        <s v="RCL005"/>
        <s v="CVC304"/>
        <s v="CDC338"/>
        <s v="CDC472"/>
        <s v="CSC359"/>
        <s v="CSC316"/>
        <s v="CSC389"/>
        <s v="CDC471"/>
        <s v="CSC329"/>
        <s v="CDC416"/>
        <s v="CVC357"/>
        <s v="CVC360"/>
        <s v="CSC317"/>
        <s v="CVC353"/>
        <s v="CSC314"/>
        <s v="CSC342"/>
        <s v="CSC340"/>
        <s v="CDC402"/>
        <s v="CDC456"/>
        <s v="CVC334"/>
        <s v="CDC424"/>
        <s v="CDC404"/>
        <s v="RCL004"/>
        <s v="RCL003"/>
        <s v="CSC349"/>
        <s v="CVC305"/>
        <s v="CSC396"/>
        <s v="CSC369"/>
        <s v="CSC321"/>
        <s v="CSC372"/>
        <s v="CSC318"/>
        <s v="CSC356"/>
        <s v="CDC401"/>
        <s v="CDC335"/>
        <s v="CVC363"/>
        <s v="CDC408"/>
        <s v="CDC325"/>
        <s v="CVC307"/>
        <s v="CDC459"/>
        <s v="CDC446"/>
        <s v="CSC367"/>
        <s v="CSC312"/>
        <s v="CVC338"/>
        <s v="CSC385"/>
        <s v="CSC320"/>
        <s v="CSC323"/>
        <s v="CVC300"/>
        <s v="CSC344"/>
        <s v="CDC455"/>
        <s v="CVC309"/>
        <s v="CSC341"/>
        <s v="CSC311"/>
        <s v="CSC358"/>
        <s v="CDC452"/>
        <s v="CSC346"/>
        <s v="CVC331"/>
        <s v="CSC360"/>
        <s v="CDC447"/>
        <s v="CSC345"/>
        <s v="CDC406"/>
        <s v="CDC310" u="1"/>
        <s v="CSC348" u="1"/>
        <s v="CDC448" u="1"/>
        <s v="CDC410" u="1"/>
        <s v="CDC407" u="1"/>
        <s v="CSC361" u="1"/>
        <s v="CDC451" u="1"/>
        <s v="CDC442" u="1"/>
        <s v="CDC423" u="1"/>
        <s v="CSC362" u="1"/>
        <s v="CDC461" u="1"/>
        <s v="CDC458" u="1"/>
        <s v="CDC464" u="1"/>
        <s v="CVC302" u="1"/>
        <s v="CDC 415" u="1"/>
        <s v="CSC354" u="1"/>
        <s v="CSC387" u="1"/>
        <s v="CDC403" u="1"/>
        <s v="CDC419" u="1"/>
        <s v="CDC467" u="1"/>
        <s v="CSC357" u="1"/>
        <s v="CSC355" u="1"/>
        <s v="CDC465" u="1"/>
        <s v="CSC363" u="1"/>
        <s v="CDC317" u="1"/>
        <s v="CDC326" u="1"/>
        <s v="SCL038" u="1"/>
        <s v="CSC315" u="1"/>
        <s v="CDC453" u="1"/>
        <s v="CDC463" u="1"/>
        <s v="CDC 465" u="1"/>
        <s v="CSC371" u="1"/>
        <s v="CDC340" u="1"/>
        <s v="CSC394" u="1"/>
        <s v="CDC441" u="1"/>
        <s v="CSC328" u="1"/>
        <s v="CDC468" u="1"/>
        <s v="CSC351" u="1"/>
        <s v="CSC309" u="1"/>
        <s v="CDC 472" u="1"/>
        <s v="CDC 410" u="1"/>
        <s v="CDC418" u="1"/>
        <s v="CSC 302" u="1"/>
        <s v="CSC301" u="1"/>
        <s v="CDC322" u="1"/>
        <s v="CDC415" u="1"/>
        <s v="CSC339" u="1"/>
        <s v="CCC358" u="1"/>
        <s v="CDC409" u="1"/>
      </sharedItems>
    </cacheField>
    <cacheField name="RE 1" numFmtId="0">
      <sharedItems containsSemiMixedTypes="0" containsString="0" containsNumber="1" containsInteger="1" minValue="812" maxValue="53407"/>
    </cacheField>
    <cacheField name="Nome 1" numFmtId="0">
      <sharedItems/>
    </cacheField>
    <cacheField name="RE 2" numFmtId="0">
      <sharedItems containsSemiMixedTypes="0" containsString="0" containsNumber="1" containsInteger="1" minValue="4732" maxValue="53805"/>
    </cacheField>
    <cacheField name="Nome 2" numFmtId="0">
      <sharedItems/>
    </cacheField>
    <cacheField name="Equipamentos" numFmtId="0">
      <sharedItems/>
    </cacheField>
    <cacheField name="Baixa Sistema" numFmtId="0">
      <sharedItems/>
    </cacheField>
    <cacheField name="Finalizado" numFmtId="0">
      <sharedItems count="2">
        <s v="Sim"/>
        <s v="Não" u="1"/>
      </sharedItems>
    </cacheField>
    <cacheField name="Criado Por" numFmtId="0">
      <sharedItems/>
    </cacheField>
    <cacheField name="Criado Data Hora" numFmtId="165">
      <sharedItems containsSemiMixedTypes="0" containsNonDate="0" containsDate="1" containsString="0" minDate="2026-08-24T07:07:17" maxDate="2026-08-31T11:08:28"/>
    </cacheField>
    <cacheField name="Alterado Por" numFmtId="0">
      <sharedItems/>
    </cacheField>
    <cacheField name="Alterado Data Hora" numFmtId="165">
      <sharedItems containsSemiMixedTypes="0" containsNonDate="0" containsDate="1" containsString="0" minDate="2026-08-24T08:52:08" maxDate="2026-08-31T16:32:09"/>
    </cacheField>
    <cacheField name="Periodo Criacao" numFmtId="0">
      <sharedItems/>
    </cacheField>
    <cacheField name="Periodo Finalizacao" numFmtId="0">
      <sharedItems count="3">
        <s v="Tarde"/>
        <s v="Manha"/>
        <s v="Nao finalizada" u="1"/>
      </sharedItems>
    </cacheField>
    <cacheField name="Mesma Manha" numFmtId="0">
      <sharedItems containsBlank="1"/>
    </cacheField>
    <cacheField name="Intervalo Minutos" numFmtId="166">
      <sharedItems containsSemiMixedTypes="0" containsString="0" containsNumber="1" minValue="2.5" maxValue="6987.6"/>
    </cacheField>
    <cacheField name="Rapida Manha 120mi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9">
  <r>
    <n v="51410"/>
    <s v="24-08-2026"/>
    <s v="Santo André"/>
    <s v="Leste"/>
    <x v="0"/>
    <n v="21004"/>
    <s v="VITAL GABRIEL DE ARAUJO NETO"/>
    <n v="22954"/>
    <s v="LUCAS M DOS S LOMBARDI"/>
    <s v="FITA ISOLANTE (2); CENTRALIZADO DIRETO (30); LACRE MARROM (50); ESTRELA FORÇA (12); DELTA SMART (24)"/>
    <s v="Sim"/>
    <x v="0"/>
    <s v="VITAL GABRIEL DE ARAUJO NETO"/>
    <d v="2026-08-24T07:07:17"/>
    <s v="TIAGO DE FREITAS SANTOS"/>
    <d v="2026-08-26T16:22:33"/>
    <s v="Manha"/>
    <x v="0"/>
    <m/>
    <n v="3435.3"/>
    <s v="Nao"/>
  </r>
  <r>
    <n v="52498"/>
    <s v="28-08-2026"/>
    <s v="Santo André"/>
    <m/>
    <x v="1"/>
    <n v="25859"/>
    <s v="PEDRO H ALENCAR SILVA SANTOS"/>
    <n v="17449"/>
    <s v="SAMUEL MARTINS PORTO COSTA"/>
    <s v="TRIFASICO INDIRETO (1)"/>
    <s v="Sim"/>
    <x v="0"/>
    <s v="PEDRO EUGENIO P DAMIÃO"/>
    <d v="2026-08-31T11:08:28"/>
    <s v="TIAGO DE FREITAS SANTOS"/>
    <d v="2026-08-31T15:59:58"/>
    <s v="Manha"/>
    <x v="0"/>
    <m/>
    <n v="291.5"/>
    <s v="Nao"/>
  </r>
  <r>
    <n v="52497"/>
    <s v="28-08-2026"/>
    <s v="Santo André"/>
    <m/>
    <x v="2"/>
    <n v="13461"/>
    <s v="JOSEILDO DOS SANTOS LEITE"/>
    <n v="22347"/>
    <s v="PEDRO HENRIQUE C DA SILVA"/>
    <s v="TRIFASICO INDIRETO (1)"/>
    <s v="Sim"/>
    <x v="0"/>
    <s v="PEDRO EUGENIO P DAMIÃO"/>
    <d v="2026-08-31T11:06:29"/>
    <s v="TIAGO DE FREITAS SANTOS"/>
    <d v="2026-08-31T16:32:09"/>
    <s v="Manha"/>
    <x v="0"/>
    <m/>
    <n v="325.7"/>
    <s v="Nao"/>
  </r>
  <r>
    <n v="52378"/>
    <s v="28-08-2026"/>
    <s v="Santo André"/>
    <s v="Leste"/>
    <x v="3"/>
    <n v="22950"/>
    <s v="EDU DA SILVA"/>
    <n v="23162"/>
    <s v="JEFFERSON DE ALMEIDA OLIVEIRA"/>
    <s v="CABO 50 MM  NOVO (QUADRUPLEX) (40); TC 200 (3)"/>
    <s v="Sim"/>
    <x v="0"/>
    <s v="EDU DA SILVA"/>
    <d v="2026-08-28T16:19:39"/>
    <s v="TIAGO DE FREITAS SANTOS"/>
    <d v="2026-08-28T16:34:11"/>
    <s v="Tarde"/>
    <x v="0"/>
    <m/>
    <n v="14.5"/>
    <s v="Nao"/>
  </r>
  <r>
    <n v="52376"/>
    <s v="28-08-2026"/>
    <s v="Santo André"/>
    <s v="Leste"/>
    <x v="4"/>
    <n v="22724"/>
    <s v="FELIPE WILSON GRIMALDI"/>
    <n v="22990"/>
    <s v="HENRIQUE MENEZES C DE OLIVEIRA"/>
    <s v="DELTA SMART (12)"/>
    <s v="Sim"/>
    <x v="0"/>
    <s v="FELIPE WILSON GRIMALDI"/>
    <d v="2026-08-28T15:21:56"/>
    <s v="TIAGO DE FREITAS SANTOS"/>
    <d v="2026-08-28T15:50:12"/>
    <s v="Tarde"/>
    <x v="0"/>
    <m/>
    <n v="28.3"/>
    <s v="Nao"/>
  </r>
  <r>
    <n v="52368"/>
    <s v="28-08-2026"/>
    <s v="Santo André"/>
    <s v="Leste"/>
    <x v="5"/>
    <n v="24257"/>
    <s v="CLEITON DE JESUS ROCHA MORAES"/>
    <n v="10097"/>
    <s v="RONEI BORGES DE OLIVEIRA"/>
    <s v="DELTA SMART (12)"/>
    <s v="Sim"/>
    <x v="0"/>
    <s v="RONEI BORGES DE OLIVEIRA"/>
    <d v="2026-08-28T15:06:45"/>
    <s v="TIAGO DE FREITAS SANTOS"/>
    <d v="2026-08-28T16:37:14"/>
    <s v="Tarde"/>
    <x v="0"/>
    <m/>
    <n v="90.5"/>
    <s v="Nao"/>
  </r>
  <r>
    <n v="52367"/>
    <s v="28-08-2026"/>
    <s v="Santo André"/>
    <s v="Leste"/>
    <x v="6"/>
    <n v="24778"/>
    <s v="JOAO MARCOS FREITAS SANTANA"/>
    <n v="25766"/>
    <s v="MATHEUS P DE OLIVEIRA SILVA"/>
    <s v="LACRE MARROM (100); ESTRELA FORÇA (12)"/>
    <s v="Sim"/>
    <x v="0"/>
    <s v="JOAO MARCOS FREITAS SANTANA"/>
    <d v="2026-08-28T14:55:58"/>
    <s v="TIAGO DE FREITAS SANTOS"/>
    <d v="2026-08-28T17:04:20"/>
    <s v="Tarde"/>
    <x v="0"/>
    <m/>
    <n v="128.4"/>
    <s v="Nao"/>
  </r>
  <r>
    <n v="52366"/>
    <s v="28-08-2026"/>
    <s v="Santo André"/>
    <s v="Leste"/>
    <x v="7"/>
    <n v="23359"/>
    <s v="JOYCE DA SILVA"/>
    <n v="24255"/>
    <s v="WESLEI DA SILVA GOMES"/>
    <s v="LACRE MARROM (100); DELTA SMART (12); RAMAL 10 MM TRIPLEX (NEUTRO DESENCAPADO) (50)"/>
    <s v="Sim"/>
    <x v="0"/>
    <s v="JOYCE DA SILVA"/>
    <d v="2026-08-28T14:52:28"/>
    <s v="TIAGO DE FREITAS SANTOS"/>
    <d v="2026-08-28T16:11:44"/>
    <s v="Tarde"/>
    <x v="0"/>
    <m/>
    <n v="79.3"/>
    <s v="Nao"/>
  </r>
  <r>
    <n v="52361"/>
    <s v="28-08-2026"/>
    <s v="Santo André"/>
    <s v="ABC Sul"/>
    <x v="8"/>
    <n v="9893"/>
    <s v="ARIEL SOARES LIMA"/>
    <n v="22731"/>
    <s v="JOAO VITOR DE LIMA DE SOUZA"/>
    <s v="PARAFUSO MÉDIO (20); LACRE MARROM (100); FITA ISOLANTE (2); ESTRELA FORÇA (12)"/>
    <s v="Sim"/>
    <x v="0"/>
    <s v="ARIEL SOARES LIMA"/>
    <d v="2026-08-28T14:08:59"/>
    <s v="PEDRO EUGENIO P DAMIÃO"/>
    <d v="2026-08-31T10:45:02"/>
    <s v="Tarde"/>
    <x v="1"/>
    <m/>
    <n v="4116.1000000000004"/>
    <s v="Nao"/>
  </r>
  <r>
    <n v="52358"/>
    <s v="28-08-2026"/>
    <s v="Santo André"/>
    <s v="ABC Sul"/>
    <x v="9"/>
    <n v="22743"/>
    <s v="NATA OLIVEIRA DE MENEZES"/>
    <n v="25375"/>
    <s v="JAILDSON DA SILVA SOUZA"/>
    <s v="ESTRELA FORÇA (4); ESTRELA LUZ (10)"/>
    <s v="Sim"/>
    <x v="0"/>
    <s v="NATA OLIVEIRA DE MENEZES"/>
    <d v="2026-08-28T13:52:43"/>
    <s v="PEDRO EUGENIO P DAMIÃO"/>
    <d v="2026-08-31T10:47:51"/>
    <s v="Tarde"/>
    <x v="1"/>
    <m/>
    <n v="4135.1000000000004"/>
    <s v="Nao"/>
  </r>
  <r>
    <n v="52347"/>
    <s v="28-08-2026"/>
    <s v="Santo André"/>
    <s v="Leste"/>
    <x v="10"/>
    <n v="21948"/>
    <s v="ARINELSON DA SILVA LOPES"/>
    <n v="23088"/>
    <s v="ERICK DE OLIVEIRA COSTA"/>
    <s v="ESTRELA LUZ (2); ESTRELA FORÇA (2); FITA ISOLANTE (2)"/>
    <s v="Sim"/>
    <x v="0"/>
    <s v="ARINELSON DA SILVA LOPES"/>
    <d v="2026-08-28T13:23:42"/>
    <s v="TIAGO DE FREITAS SANTOS"/>
    <d v="2026-08-28T15:10:43"/>
    <s v="Tarde"/>
    <x v="0"/>
    <m/>
    <n v="107"/>
    <s v="Nao"/>
  </r>
  <r>
    <n v="52346"/>
    <s v="28-08-2026"/>
    <s v="Santo André"/>
    <s v="ABC Sul"/>
    <x v="11"/>
    <n v="19060"/>
    <s v="GIVANILDO FAUSTINO DE OLIVEIRA"/>
    <n v="19207"/>
    <s v="WEVERTON DA SILVA SANTOS"/>
    <s v="DELTA SMART (12); FITA ISOLANTE (1); RAMAL 10 MM TRIPLEX (NEUTRO DESENCAPADO) (50)"/>
    <s v="Sim"/>
    <x v="0"/>
    <s v="GIVANILDO FAUSTINO DE OLIVEIRA"/>
    <d v="2026-08-28T13:22:49"/>
    <s v="TIAGO DE FREITAS SANTOS"/>
    <d v="2026-08-28T16:48:39"/>
    <s v="Tarde"/>
    <x v="0"/>
    <m/>
    <n v="205.8"/>
    <s v="Nao"/>
  </r>
  <r>
    <n v="52345"/>
    <s v="28-08-2026"/>
    <s v="Santo André"/>
    <s v="Leste"/>
    <x v="12"/>
    <n v="17448"/>
    <s v="RICARDO COUTO SOARES"/>
    <n v="19473"/>
    <s v="IZAQUE NEVES DA SILVA"/>
    <s v="RAMAL 10 MM (QUADRUPLEX) (100); FITA ISOLANTE (2)"/>
    <s v="Sim"/>
    <x v="0"/>
    <s v="IZAQUE NEVES DA SILVA"/>
    <d v="2026-08-28T13:18:42"/>
    <s v="PEDRO EUGENIO P DAMIÃO"/>
    <d v="2026-08-31T08:46:52"/>
    <s v="Tarde"/>
    <x v="1"/>
    <m/>
    <n v="4048.2"/>
    <s v="Nao"/>
  </r>
  <r>
    <n v="52344"/>
    <s v="28-08-2026"/>
    <s v="Santo André"/>
    <s v="Leste"/>
    <x v="13"/>
    <n v="16776"/>
    <s v="FABIO LEITE ROSA"/>
    <n v="25511"/>
    <s v="FERNANDO SANTIAGO DE OLIVEIRA"/>
    <s v="DELTA SMART (12)"/>
    <s v="Sim"/>
    <x v="0"/>
    <s v="FERNANDO SANTIAGO DE OLIVEIRA"/>
    <d v="2026-08-28T13:17:13"/>
    <s v="TIAGO DE FREITAS SANTOS"/>
    <d v="2026-08-28T13:46:46"/>
    <s v="Tarde"/>
    <x v="0"/>
    <m/>
    <n v="29.6"/>
    <s v="Nao"/>
  </r>
  <r>
    <n v="52308"/>
    <s v="28-08-2026"/>
    <s v="Santo André"/>
    <s v="Leste"/>
    <x v="14"/>
    <n v="23492"/>
    <s v="VANDO BESERRA PEREIRA"/>
    <n v="18442"/>
    <s v="WARLLEY MARTINS DE SOUZA"/>
    <s v="LACRE MARROM (100); RAMAL 10 MM TRIPLEX (NEUTRO DESENCAPADO) (100)"/>
    <s v="Não"/>
    <x v="0"/>
    <s v="VANDO BESERRA PEREIRA"/>
    <d v="2026-08-28T11:05:22"/>
    <s v="TIAGO DE FREITAS SANTOS"/>
    <d v="2026-08-28T17:09:35"/>
    <s v="Manha"/>
    <x v="0"/>
    <m/>
    <n v="364.2"/>
    <s v="Nao"/>
  </r>
  <r>
    <n v="52306"/>
    <s v="28-08-2026"/>
    <s v="Santo André"/>
    <s v="Leste"/>
    <x v="3"/>
    <n v="22950"/>
    <s v="EDU DA SILVA"/>
    <n v="23162"/>
    <s v="JEFFERSON DE ALMEIDA OLIVEIRA"/>
    <s v="RAMAL 10 MM TRIPLEX (NEUTRO DESENCAPADO) (50); DELTA SMART (20)"/>
    <s v="Sim"/>
    <x v="0"/>
    <s v="EDU DA SILVA"/>
    <d v="2026-08-28T10:45:33"/>
    <s v="TIAGO DE FREITAS SANTOS"/>
    <d v="2026-08-28T16:04:08"/>
    <s v="Manha"/>
    <x v="0"/>
    <m/>
    <n v="318.60000000000002"/>
    <s v="Nao"/>
  </r>
  <r>
    <n v="52305"/>
    <s v="28-08-2026"/>
    <s v="Santo André"/>
    <s v="Leste"/>
    <x v="15"/>
    <n v="17569"/>
    <s v="IGOR MACEDO LOPES DA SILVA"/>
    <n v="13733"/>
    <s v="OSVALDO APARECIDO GOMES"/>
    <s v="DELTA SMART (18); RAMAL 10 MM TRIPLEX (NEUTRO DESENCAPADO) (50)"/>
    <s v="Sim"/>
    <x v="0"/>
    <s v="IGOR MACEDO LOPES DA SILVA"/>
    <d v="2026-08-28T10:43:08"/>
    <s v="TIAGO DE FREITAS SANTOS"/>
    <d v="2026-08-28T15:15:01"/>
    <s v="Manha"/>
    <x v="0"/>
    <m/>
    <n v="271.89999999999998"/>
    <s v="Nao"/>
  </r>
  <r>
    <n v="52265"/>
    <s v="28-08-2026"/>
    <s v="Santo André"/>
    <s v="ABC Sul"/>
    <x v="16"/>
    <n v="25378"/>
    <s v="LUCAS DE SOUZA OLIVEIRA"/>
    <n v="25506"/>
    <s v="CLAUDEMIR ROBERTO DE SOUZA"/>
    <s v="ALÇA 10 MM (10); FITA ISOLANTE (3); ESTRELA LUZ (6); ESTRELA FORÇA (6); DELTA SMART (12); LACRE PRETO (50); LACRE MARROM (100); RAMAL 10 MM TRIPLEX (NEUTRO DESENCAPADO) (50)"/>
    <s v="Sim"/>
    <x v="0"/>
    <s v="WANDREW VIANA ALVARENGA"/>
    <d v="2026-08-28T08:09:29"/>
    <s v="PEDRO EUGENIO P DAMIÃO"/>
    <d v="2026-08-31T13:13:51"/>
    <s v="Manha"/>
    <x v="0"/>
    <m/>
    <n v="4624.3999999999996"/>
    <s v="Nao"/>
  </r>
  <r>
    <n v="52261"/>
    <s v="28-08-2026"/>
    <s v="Santo André"/>
    <s v="ABC Sul"/>
    <x v="17"/>
    <n v="19213"/>
    <s v="VINICIUS SANTOS DA SILVA"/>
    <n v="20038"/>
    <s v="MATHEUS IDEZIO R F SANTOS"/>
    <s v="CABO 25 MM  (QUADRUPLEX) (30); ALÇA 25 MM (25)"/>
    <s v="Sim"/>
    <x v="0"/>
    <s v="VINICIUS SANTOS DA SILVA"/>
    <d v="2026-08-28T08:05:03"/>
    <s v="PEDRO EUGENIO P DAMIÃO"/>
    <d v="2026-08-31T08:50:42"/>
    <s v="Manha"/>
    <x v="1"/>
    <m/>
    <n v="4365.6000000000004"/>
    <s v="Nao"/>
  </r>
  <r>
    <n v="52257"/>
    <s v="28-08-2026"/>
    <s v="Santo André"/>
    <s v="Leste"/>
    <x v="18"/>
    <n v="23930"/>
    <s v="FABIO BATISTA RODRIGUES"/>
    <n v="15602"/>
    <s v="THIAGO CAMPOS GONCALVES"/>
    <s v="TRIFASICO INDIRETO GD (1)"/>
    <s v="Sim"/>
    <x v="0"/>
    <s v="CARLOS ALBERTO DOMENES JUNIOR"/>
    <d v="2026-08-28T07:58:31"/>
    <s v="TIAGO DE FREITAS SANTOS"/>
    <d v="2026-08-28T08:27:01"/>
    <s v="Manha"/>
    <x v="1"/>
    <s v="Sim"/>
    <n v="28.5"/>
    <s v="Sim"/>
  </r>
  <r>
    <n v="52219"/>
    <s v="27-08-2026"/>
    <s v="Santo André"/>
    <s v="Leste"/>
    <x v="19"/>
    <n v="21946"/>
    <s v="JEFFERSON HENRIQUE A DA SILVA"/>
    <n v="22739"/>
    <s v="MATEUS DOMINGUES MOURA"/>
    <s v="DELTA SMART (42); FITA ISOLANTE (3); ESTRELA FORÇA (14)"/>
    <s v="Sim"/>
    <x v="0"/>
    <s v="MATEUS DOMINGUES MOURA"/>
    <d v="2026-08-27T17:24:39"/>
    <s v="TIAGO DE FREITAS SANTOS"/>
    <d v="2026-08-27T17:53:47"/>
    <s v="Tarde"/>
    <x v="0"/>
    <m/>
    <n v="29.1"/>
    <s v="Nao"/>
  </r>
  <r>
    <n v="52216"/>
    <s v="27-08-2026"/>
    <s v="Santo André"/>
    <s v="Sul"/>
    <x v="20"/>
    <n v="19067"/>
    <s v="RODRIGO RICHARD BARBOSA"/>
    <n v="19044"/>
    <s v="ERIEL ALDO SANTOS FARIAS"/>
    <s v="INDIRETO WM (2); TC 200 (6); CABO 25 MM  (QUADRUPLEX) (30); CABO 50 MM  NOVO (QUADRUPLEX) (30)"/>
    <s v="Não"/>
    <x v="0"/>
    <s v="ERIEL ALDO SANTOS FARIAS"/>
    <d v="2026-08-27T17:01:18"/>
    <s v="TIAGO DE FREITAS SANTOS"/>
    <d v="2026-08-27T17:16:53"/>
    <s v="Tarde"/>
    <x v="0"/>
    <m/>
    <n v="15.6"/>
    <s v="Nao"/>
  </r>
  <r>
    <n v="52207"/>
    <s v="27-08-2026"/>
    <s v="Santo André"/>
    <s v="Leste"/>
    <x v="21"/>
    <n v="23931"/>
    <s v="VINICIUS E MACEDO RODRIGUES"/>
    <n v="25517"/>
    <s v="LUIS FERNANDO FURQUIM DE SOUSA"/>
    <s v="SMART METER BIFÁSICO (18)"/>
    <s v="Não"/>
    <x v="0"/>
    <s v="LUIZ FELIPE DOS SANTOS DANTAS"/>
    <d v="2026-08-27T15:08:39"/>
    <s v="TIAGO DE FREITAS SANTOS"/>
    <d v="2026-08-27T15:11:08"/>
    <s v="Tarde"/>
    <x v="0"/>
    <m/>
    <n v="2.5"/>
    <s v="Nao"/>
  </r>
  <r>
    <n v="52204"/>
    <s v="27-08-2026"/>
    <s v="Santo André"/>
    <s v="Leste"/>
    <x v="22"/>
    <n v="6763"/>
    <s v="JEFFERSON LUIZ ANDRADE DA S."/>
    <n v="13042"/>
    <s v="GILMAR DE OLIVEIRA"/>
    <s v="RAMAL 10 MM TRIPLEX (NEUTRO DESENCAPADO) (100); DELTA SMART (30)"/>
    <s v="Sim"/>
    <x v="0"/>
    <s v="JEFFERSON LUIZ ANDRADE DA S."/>
    <d v="2026-08-27T14:54:57"/>
    <s v="TIAGO DE FREITAS SANTOS"/>
    <d v="2026-08-27T17:27:22"/>
    <s v="Tarde"/>
    <x v="0"/>
    <m/>
    <n v="152.4"/>
    <s v="Nao"/>
  </r>
  <r>
    <n v="52202"/>
    <s v="27-08-2026"/>
    <s v="Santo André"/>
    <s v="Leste"/>
    <x v="23"/>
    <n v="14568"/>
    <s v="TIAGO SANTIAGO BENEDITO"/>
    <n v="16199"/>
    <s v="DICAEL SOUZA RIBEIRO"/>
    <s v="ILHÓS 10 MM (VERMELHO) (100); FITA ISOLANTE (2); DELTA SMART (12); RAMAL 10 MM TRIPLEX (NEUTRO DESENCAPADO) (50)"/>
    <s v="Sim"/>
    <x v="0"/>
    <s v="DICAEL SOUZA RIBEIRO"/>
    <d v="2026-08-27T14:47:52"/>
    <s v="TIAGO DE FREITAS SANTOS"/>
    <d v="2026-08-28T08:19:37"/>
    <s v="Tarde"/>
    <x v="1"/>
    <m/>
    <n v="1051.7"/>
    <s v="Nao"/>
  </r>
  <r>
    <n v="52201"/>
    <s v="27-08-2026"/>
    <s v="Santo André"/>
    <s v="Leste"/>
    <x v="24"/>
    <n v="19323"/>
    <s v="LEONARDO MARTINS GONCALVES"/>
    <n v="20043"/>
    <s v="GILBERTO ALVES DE SOUSA"/>
    <s v="DELTA SMART (12); LACRE MARROM (100); FITA ISOLANTE (2)"/>
    <s v="Sim"/>
    <x v="0"/>
    <s v="LEONARDO MARTINS GONCALVES"/>
    <d v="2026-08-27T14:36:22"/>
    <s v="TIAGO DE FREITAS SANTOS"/>
    <d v="2026-08-27T17:24:42"/>
    <s v="Tarde"/>
    <x v="0"/>
    <m/>
    <n v="168.3"/>
    <s v="Nao"/>
  </r>
  <r>
    <n v="52199"/>
    <s v="27-08-2026"/>
    <s v="Santo André"/>
    <s v="Leste"/>
    <x v="25"/>
    <n v="18059"/>
    <s v="FELIPE HELIO R DOS SANTOS"/>
    <n v="23357"/>
    <s v="JONATHAN VITOR DE B DA SILVA"/>
    <s v="DELTA SMART (18); LACRE MARROM (100); RAMAL 10 MM TRIPLEX (NEUTRO DESENCAPADO) (50)"/>
    <s v="Não"/>
    <x v="0"/>
    <s v="FELIPE HELIO R DOS SANTOS"/>
    <d v="2026-08-27T14:12:05"/>
    <s v="TIAGO DE FREITAS SANTOS"/>
    <d v="2026-08-27T15:54:42"/>
    <s v="Tarde"/>
    <x v="0"/>
    <m/>
    <n v="102.6"/>
    <s v="Nao"/>
  </r>
  <r>
    <n v="52197"/>
    <s v="27-08-2026"/>
    <s v="Santo André"/>
    <s v="Leste"/>
    <x v="26"/>
    <n v="7315"/>
    <s v="MARCIO WILLIAM GOMES DA CRUZ"/>
    <n v="14432"/>
    <s v="VITOR SANTOS DE LIMA"/>
    <s v="CABO 25 MM (TRIPLEX) (30); LACRE MARROM (100); FITA ISOLANTE (2)"/>
    <s v="Sim"/>
    <x v="0"/>
    <s v="NICOLAS DOLIVEIRA CASTRO"/>
    <d v="2026-08-27T14:02:24"/>
    <s v="PEDRO EUGENIO P DAMIÃO"/>
    <d v="2026-08-31T08:52:23"/>
    <s v="Tarde"/>
    <x v="1"/>
    <m/>
    <n v="5450"/>
    <s v="Nao"/>
  </r>
  <r>
    <n v="52186"/>
    <s v="27-08-2026"/>
    <s v="Santo André"/>
    <s v="Leste"/>
    <x v="27"/>
    <n v="22717"/>
    <s v="DANIEL RODRIGUES DOS SANTOS"/>
    <n v="22741"/>
    <s v="MIGUEL FARIA PINTO"/>
    <s v="LACRE MARROM (100); FITA ISOLANTE (2); RAMAL 10 MM TRIPLEX (NEUTRO DESENCAPADO) (50); RAMAL 10 MM (QUADRUPLEX) (50)"/>
    <s v="Sim"/>
    <x v="0"/>
    <s v="DANIEL RODRIGUES DOS SANTOS"/>
    <d v="2026-08-27T13:39:03"/>
    <s v="PEDRO EUGENIO P DAMIÃO"/>
    <d v="2026-08-31T08:54:48"/>
    <s v="Tarde"/>
    <x v="1"/>
    <m/>
    <n v="5475.8"/>
    <s v="Nao"/>
  </r>
  <r>
    <n v="52184"/>
    <s v="27-08-2026"/>
    <s v="Santo André"/>
    <s v="Leste"/>
    <x v="28"/>
    <n v="9757"/>
    <s v="DIOGO LUCIANO DOS SANTOS"/>
    <n v="6652"/>
    <s v="WELLINGSON FERNANDES SILVA"/>
    <s v="RAMAL 10 MM TRIPLEX (NEUTRO DESENCAPADO) (50); ESTRELA FORÇA (6); DELTA SMART (6); LACRE MARROM (100)"/>
    <s v="Sim"/>
    <x v="0"/>
    <s v="DIOGO LUCIANO DOS SANTOS"/>
    <d v="2026-08-27T13:34:56"/>
    <s v="TIAGO DE FREITAS SANTOS"/>
    <d v="2026-08-27T16:18:29"/>
    <s v="Tarde"/>
    <x v="0"/>
    <m/>
    <n v="163.5"/>
    <s v="Nao"/>
  </r>
  <r>
    <n v="52179"/>
    <s v="27-08-2026"/>
    <s v="Santo André"/>
    <s v="Sul"/>
    <x v="20"/>
    <n v="19067"/>
    <s v="RODRIGO RICHARD BARBOSA"/>
    <n v="19044"/>
    <s v="ERIEL ALDO SANTOS FARIAS"/>
    <s v="DELTA SMART (30); ESTRELA FORÇA (20); LACRE MARROM (50); FITA ISOLANTE (2); RAMAL 10 MM TRIPLEX (NEUTRO DESENCAPADO) (50)"/>
    <s v="Sim"/>
    <x v="0"/>
    <s v="ERIEL ALDO SANTOS FARIAS"/>
    <d v="2026-08-27T13:23:32"/>
    <s v="TIAGO DE FREITAS SANTOS"/>
    <d v="2026-08-27T16:55:55"/>
    <s v="Tarde"/>
    <x v="0"/>
    <m/>
    <n v="212.4"/>
    <s v="Nao"/>
  </r>
  <r>
    <n v="52169"/>
    <s v="27-08-2026"/>
    <s v="Santo André"/>
    <s v="Leste"/>
    <x v="2"/>
    <n v="13461"/>
    <s v="JOSEILDO DOS SANTOS LEITE"/>
    <n v="22347"/>
    <s v="PEDRO HENRIQUE C DA SILVA"/>
    <s v="PARAF. 16MM X 70MM (100); LACRE MARROM (100); DELTA SMART (6); ESTRELA FORÇA (12); FITA ISOLANTE (1)"/>
    <s v="Sim"/>
    <x v="0"/>
    <s v="JOSEILDO DOS SANTOS LEITE"/>
    <d v="2026-08-27T12:53:32"/>
    <s v="TIAGO DE FREITAS SANTOS"/>
    <d v="2026-08-27T16:19:44"/>
    <s v="Tarde"/>
    <x v="0"/>
    <m/>
    <n v="206.2"/>
    <s v="Nao"/>
  </r>
  <r>
    <n v="52166"/>
    <s v="27-08-2026"/>
    <s v="Santo André"/>
    <s v="Leste"/>
    <x v="12"/>
    <n v="17448"/>
    <s v="RICARDO COUTO SOARES"/>
    <n v="19473"/>
    <s v="IZAQUE NEVES DA SILVA"/>
    <s v="FITA ISOLANTE (2); RAMAL 10 MM TRIPLEX (NEUTRO DESENCAPADO) (100)"/>
    <s v="Sim"/>
    <x v="0"/>
    <s v="IZAQUE NEVES DA SILVA"/>
    <d v="2026-08-27T12:43:50"/>
    <s v="PEDRO EUGENIO P DAMIÃO"/>
    <d v="2026-08-31T08:55:53"/>
    <s v="Tarde"/>
    <x v="1"/>
    <m/>
    <n v="5532.1"/>
    <s v="Nao"/>
  </r>
  <r>
    <n v="52158"/>
    <s v="27-08-2026"/>
    <s v="Santo André"/>
    <s v="Leste"/>
    <x v="29"/>
    <n v="13193"/>
    <s v="ANDRE LUIZ DA SILVA"/>
    <n v="21361"/>
    <s v="CAUA PETERSON DA SILVA BEZERRA"/>
    <s v="DELTA SMART (12); RAMAL 10 MM TRIPLEX (NEUTRO DESENCAPADO) (50)"/>
    <s v="Sim"/>
    <x v="0"/>
    <s v="CAUA PETERSON DA SILVA BEZERRA"/>
    <d v="2026-08-27T12:25:54"/>
    <s v="TIAGO DE FREITAS SANTOS"/>
    <d v="2026-08-27T17:45:07"/>
    <s v="Tarde"/>
    <x v="0"/>
    <m/>
    <n v="319.2"/>
    <s v="Nao"/>
  </r>
  <r>
    <n v="52156"/>
    <s v="27-08-2026"/>
    <s v="Santo André"/>
    <s v="Leste"/>
    <x v="30"/>
    <n v="5432"/>
    <s v="SIDNEI GARCIA"/>
    <n v="24525"/>
    <s v="SHEILA PEREIRA NOGUEIRA"/>
    <s v="LACRE MARROM (100); DELTA SMART (30)"/>
    <s v="Sim"/>
    <x v="0"/>
    <s v="SIDNEI GARCIA"/>
    <d v="2026-08-27T12:14:06"/>
    <s v="TIAGO DE FREITAS SANTOS"/>
    <d v="2026-08-28T08:28:49"/>
    <s v="Tarde"/>
    <x v="1"/>
    <m/>
    <n v="1214.7"/>
    <s v="Nao"/>
  </r>
  <r>
    <n v="52145"/>
    <s v="27-08-2026"/>
    <s v="Santo André"/>
    <s v="Leste"/>
    <x v="18"/>
    <n v="23930"/>
    <s v="FABIO BATISTA RODRIGUES"/>
    <n v="15602"/>
    <s v="THIAGO CAMPOS GONCALVES"/>
    <s v="LACRE MARROM (100); FITA ISOLANTE (1); PARAFUSO MÉDIO (100); DELTA SMART (24)"/>
    <s v="Sim"/>
    <x v="0"/>
    <s v="CARLOS ALBERTO DOMENES JUNIOR"/>
    <d v="2026-08-27T11:35:11"/>
    <s v="TIAGO DE FREITAS SANTOS"/>
    <d v="2026-08-27T16:59:28"/>
    <s v="Manha"/>
    <x v="0"/>
    <m/>
    <n v="324.3"/>
    <s v="Nao"/>
  </r>
  <r>
    <n v="52143"/>
    <s v="27-08-2026"/>
    <s v="Santo André"/>
    <s v="Leste"/>
    <x v="31"/>
    <n v="24875"/>
    <s v="IZAIAS ANTONIO DA SILVA"/>
    <n v="53407"/>
    <s v="CARLOS RIBEIRO DE ALMEIDA"/>
    <s v="ALÇA PARA CABO BICONCENTRICO (20); ROLDANA PRETA (50); CABO BICONCENTRICO NOVO (100)"/>
    <s v="Não"/>
    <x v="0"/>
    <s v="VLADEMIR LOPES DA SILVA"/>
    <d v="2026-08-27T11:29:01"/>
    <s v="TIAGO DE FREITAS SANTOS"/>
    <d v="2026-08-28T08:10:19"/>
    <s v="Manha"/>
    <x v="1"/>
    <m/>
    <n v="1241.3"/>
    <s v="Nao"/>
  </r>
  <r>
    <n v="52141"/>
    <s v="27-08-2026"/>
    <s v="Santo André"/>
    <s v="Leste"/>
    <x v="32"/>
    <n v="812"/>
    <s v="GENILTON LIMA DE SOUZA"/>
    <n v="21002"/>
    <s v="SAMUEL MARCOS ALVES DA SILVA"/>
    <s v="CAIXA DERIVAÇÃO GDE (1); CAIXA MD. UNIFICADA (12); CABO BICONCENTRICO NOVO (100)"/>
    <s v="Não"/>
    <x v="0"/>
    <s v="GENILTON LIMA DE SOUZA"/>
    <d v="2026-08-27T11:25:49"/>
    <s v="TIAGO DE FREITAS SANTOS"/>
    <d v="2026-08-28T08:01:33"/>
    <s v="Manha"/>
    <x v="1"/>
    <m/>
    <n v="1235.7"/>
    <s v="Nao"/>
  </r>
  <r>
    <n v="52140"/>
    <s v="27-08-2026"/>
    <s v="Santo André"/>
    <s v="Leste"/>
    <x v="33"/>
    <n v="18295"/>
    <s v="JOAO VICTOR FREIRE M FERREIRA"/>
    <n v="22720"/>
    <s v="JEFFERSON SILVA DE ARAUJO"/>
    <s v="DELTA SMART (6)"/>
    <s v="Sim"/>
    <x v="0"/>
    <s v="JOAO VICTOR FREIRE M FERREIRA"/>
    <d v="2026-08-27T11:21:16"/>
    <s v="TIAGO DE FREITAS SANTOS"/>
    <d v="2026-08-27T16:20:25"/>
    <s v="Manha"/>
    <x v="0"/>
    <m/>
    <n v="299.2"/>
    <s v="Nao"/>
  </r>
  <r>
    <n v="52126"/>
    <s v="27-08-2026"/>
    <s v="Santo André"/>
    <s v="Leste"/>
    <x v="34"/>
    <n v="23198"/>
    <s v="ROMARIO SANTANA DOS SANTOS"/>
    <n v="53435"/>
    <s v="WALDEMAR FREITAS SANTOS"/>
    <s v="LACRE MARROM (100); DELTA SMART (24); FITA ISOLANTE (3); CAIXA MD. UNIFICADA (12)"/>
    <s v="Sim"/>
    <x v="0"/>
    <s v="WALDEMAR FREITAS SANTOS"/>
    <d v="2026-08-27T10:45:39"/>
    <s v="TIAGO DE FREITAS SANTOS"/>
    <d v="2026-08-27T16:29:42"/>
    <s v="Manha"/>
    <x v="0"/>
    <m/>
    <n v="344.1"/>
    <s v="Nao"/>
  </r>
  <r>
    <n v="52099"/>
    <s v="27-08-2026"/>
    <s v="Santo André"/>
    <s v="ABC Sul"/>
    <x v="35"/>
    <n v="12445"/>
    <s v="DIEGO FERREIRA VILAS BOAS"/>
    <n v="10613"/>
    <s v="MARCO AURELIO DE O. BENTO"/>
    <s v="CABO 50 MM  NOVO (QUADRUPLEX) (30); RAMAL 10 MM TRIPLEX (NEUTRO DESENCAPADO) (50); TRIFASICO INDIRETO (2); TC 200 (6); CABO 25 MM  (QUADRUPLEX) (30)"/>
    <s v="Sim"/>
    <x v="0"/>
    <s v="DIEGO FERREIRA VILAS BOAS"/>
    <d v="2026-08-27T08:41:07"/>
    <s v="TIAGO DE FREITAS SANTOS"/>
    <d v="2026-08-27T09:17:21"/>
    <s v="Manha"/>
    <x v="1"/>
    <s v="Sim"/>
    <n v="36.200000000000003"/>
    <s v="Sim"/>
  </r>
  <r>
    <n v="52096"/>
    <s v="27-08-2026"/>
    <s v="Santo André"/>
    <s v="Sul"/>
    <x v="36"/>
    <n v="24791"/>
    <s v="ISRAEL JOSE M SOBRINHO"/>
    <n v="24765"/>
    <s v="ANDERSON DE SOUZA ALVES"/>
    <s v="LACRE MARROM (100); ESTRELA FORÇA (6); ESTRELA LUZ (5); DELTA SMART (12)"/>
    <s v="Sim"/>
    <x v="0"/>
    <s v="ISRAEL JOSE M SOBRINHO"/>
    <d v="2026-08-27T08:33:13"/>
    <s v="TIAGO DE FREITAS SANTOS"/>
    <d v="2026-08-27T16:48:14"/>
    <s v="Manha"/>
    <x v="0"/>
    <m/>
    <n v="495"/>
    <s v="Nao"/>
  </r>
  <r>
    <n v="52089"/>
    <s v="27-08-2026"/>
    <s v="Santo André"/>
    <s v="ABC Sul"/>
    <x v="37"/>
    <n v="24775"/>
    <s v="EVERSON DA SILVA"/>
    <n v="24776"/>
    <s v="GABRIEL LIMA DE OLIVEIRA"/>
    <s v="PARAFUSO MÉDIO (20); TRIFASICO INDIRETO GD (3)"/>
    <s v="Sim"/>
    <x v="0"/>
    <s v="EVERSON DA SILVA"/>
    <d v="2026-08-27T08:26:55"/>
    <s v="TIAGO DE FREITAS SANTOS"/>
    <d v="2026-08-27T08:44:12"/>
    <s v="Manha"/>
    <x v="1"/>
    <s v="Sim"/>
    <n v="17.3"/>
    <s v="Sim"/>
  </r>
  <r>
    <n v="52085"/>
    <s v="27-08-2026"/>
    <s v="Santo André"/>
    <s v="Leste"/>
    <x v="38"/>
    <n v="21359"/>
    <s v="RODRIGO CLAUDINO DE ARAUJO"/>
    <n v="25518"/>
    <s v="MARCOS ANTONIO DIAS GONCALVES"/>
    <s v="FITA ISOLANTE (1); RAMAL 10 MM TRIPLEX (NEUTRO DESENCAPADO) (50); DELTA SMART (18)"/>
    <s v="Sim"/>
    <x v="0"/>
    <s v="RODRIGO CLAUDINO DE ARAUJO"/>
    <d v="2026-08-27T08:20:08"/>
    <s v="TIAGO DE FREITAS SANTOS"/>
    <d v="2026-08-27T08:43:13"/>
    <s v="Manha"/>
    <x v="1"/>
    <s v="Sim"/>
    <n v="23.1"/>
    <s v="Sim"/>
  </r>
  <r>
    <n v="52084"/>
    <s v="27-08-2026"/>
    <s v="Santo André"/>
    <s v="Leste"/>
    <x v="10"/>
    <n v="21948"/>
    <s v="ARINELSON DA SILVA LOPES"/>
    <n v="23088"/>
    <s v="ERICK DE OLIVEIRA COSTA"/>
    <s v="DELTA SMART (13)"/>
    <s v="Sim"/>
    <x v="0"/>
    <s v="ARINELSON DA SILVA LOPES"/>
    <d v="2026-08-27T08:19:36"/>
    <s v="TIAGO DE FREITAS SANTOS"/>
    <d v="2026-08-27T08:49:41"/>
    <s v="Manha"/>
    <x v="1"/>
    <s v="Sim"/>
    <n v="30.1"/>
    <s v="Sim"/>
  </r>
  <r>
    <n v="52049"/>
    <s v="26-08-2026"/>
    <s v="Santo André"/>
    <s v="Leste"/>
    <x v="10"/>
    <n v="21948"/>
    <s v="ARINELSON DA SILVA LOPES"/>
    <n v="23088"/>
    <s v="ERICK DE OLIVEIRA COSTA"/>
    <s v="FITA ISOLANTE (1); CENTRALIZADO DIRETO (NOVO) (20)"/>
    <s v="Sim"/>
    <x v="0"/>
    <s v="ARINELSON DA SILVA LOPES"/>
    <d v="2026-08-26T16:58:32"/>
    <s v="ANDERSON ALEX R VIEIRA"/>
    <d v="2026-08-26T17:14:26"/>
    <s v="Tarde"/>
    <x v="0"/>
    <m/>
    <n v="15.9"/>
    <s v="Nao"/>
  </r>
  <r>
    <n v="52032"/>
    <s v="26-08-2026"/>
    <s v="Santo André"/>
    <s v="Leste"/>
    <x v="12"/>
    <n v="17448"/>
    <s v="RICARDO COUTO SOARES"/>
    <n v="19473"/>
    <s v="IZAQUE NEVES DA SILVA"/>
    <s v="1 (6); RAMAL 10 MM (QUADRUPLEX) (50); DELTA SMART (6)"/>
    <s v="Sim"/>
    <x v="0"/>
    <s v="IZAQUE NEVES DA SILVA"/>
    <d v="2026-08-26T14:57:06"/>
    <s v="PEDRO EUGENIO P DAMIÃO"/>
    <d v="2026-08-26T17:11:01"/>
    <s v="Tarde"/>
    <x v="0"/>
    <m/>
    <n v="133.9"/>
    <s v="Nao"/>
  </r>
  <r>
    <n v="52031"/>
    <s v="26-08-2026"/>
    <s v="Santo André"/>
    <s v="Leste"/>
    <x v="39"/>
    <n v="25505"/>
    <s v="ANDERSON CARDOSO TEIXEIRA"/>
    <n v="25522"/>
    <s v="WESLEY DOS SANTOS GARCIA"/>
    <s v="RAMAL 10 MM TRIPLEX (NEUTRO DESENCAPADO) (100)"/>
    <s v="Sim"/>
    <x v="0"/>
    <s v="ANDERSON CARDOSO TEIXEIRA"/>
    <d v="2026-08-26T14:57:02"/>
    <s v="PEDRO EUGENIO P DAMIÃO"/>
    <d v="2026-08-27T08:02:36"/>
    <s v="Tarde"/>
    <x v="1"/>
    <m/>
    <n v="1025.5999999999999"/>
    <s v="Nao"/>
  </r>
  <r>
    <n v="52026"/>
    <s v="26-08-2026"/>
    <s v="Santo André"/>
    <s v="Leste"/>
    <x v="22"/>
    <n v="6763"/>
    <s v="JEFFERSON LUIZ ANDRADE DA S."/>
    <n v="13042"/>
    <s v="GILMAR DE OLIVEIRA"/>
    <s v="ALÇA 50 MM (2); ESTRELA FORÇA (10); CABO 50 MM  NOVO (QUADRUPLEX) (30)"/>
    <s v="Sim"/>
    <x v="0"/>
    <s v="JEFFERSON LUIZ ANDRADE DA S."/>
    <d v="2026-08-26T14:47:29"/>
    <s v="TIAGO DE FREITAS SANTOS"/>
    <d v="2026-08-27T08:17:57"/>
    <s v="Tarde"/>
    <x v="1"/>
    <m/>
    <n v="1050.5"/>
    <s v="Nao"/>
  </r>
  <r>
    <n v="52023"/>
    <s v="26-08-2026"/>
    <s v="Santo André"/>
    <s v="Leste"/>
    <x v="40"/>
    <n v="23346"/>
    <s v="CAIQUE FONSECA NUNES"/>
    <n v="10102"/>
    <s v="RODRIGO GONCALVES DA SILVA"/>
    <s v="LACRE PRETO (50); RAMAL 10 MM (QUADRUPLEX) (50); ILHÓS 10 MM (VERMELHO) (50); FITA ISOLANTE (5); LACRE MARROM (50)"/>
    <s v="Sim"/>
    <x v="0"/>
    <s v="CAIQUE FONSECA NUNES"/>
    <d v="2026-08-26T14:40:39"/>
    <s v="PEDRO EUGENIO P DAMIÃO"/>
    <d v="2026-08-31T08:58:37"/>
    <s v="Tarde"/>
    <x v="1"/>
    <m/>
    <n v="6858"/>
    <s v="Nao"/>
  </r>
  <r>
    <n v="52021"/>
    <s v="26-08-2026"/>
    <s v="Santo André"/>
    <s v="Leste"/>
    <x v="2"/>
    <n v="13461"/>
    <s v="JOSEILDO DOS SANTOS LEITE"/>
    <n v="22347"/>
    <s v="PEDRO HENRIQUE C DA SILVA"/>
    <s v="ESTRELA FORÇA (12); DELTA SMART (12)"/>
    <s v="Sim"/>
    <x v="0"/>
    <s v="JOSEILDO DOS SANTOS LEITE"/>
    <d v="2026-08-26T14:39:16"/>
    <s v="PEDRO EUGENIO P DAMIÃO"/>
    <d v="2026-08-27T14:11:18"/>
    <s v="Tarde"/>
    <x v="0"/>
    <m/>
    <n v="1412"/>
    <s v="Nao"/>
  </r>
  <r>
    <n v="52014"/>
    <s v="26-08-2026"/>
    <s v="Santo André"/>
    <s v="Leste"/>
    <x v="1"/>
    <n v="17449"/>
    <s v="SAMUEL MARTINS PORTO COSTA"/>
    <n v="25859"/>
    <s v="PEDRO H ALENCAR SILVA SANTOS"/>
    <s v="DELTA SMART (24); ESTRELA FORÇA (12)"/>
    <s v="Sim"/>
    <x v="0"/>
    <s v="SAMUEL MARTINS PORTO COSTA"/>
    <d v="2026-08-26T14:16:24"/>
    <s v="ANDERSON ALEX R VIEIRA"/>
    <d v="2026-08-26T17:12:41"/>
    <s v="Tarde"/>
    <x v="0"/>
    <m/>
    <n v="176.3"/>
    <s v="Nao"/>
  </r>
  <r>
    <n v="52013"/>
    <s v="26-08-2026"/>
    <s v="Santo André"/>
    <s v="ABC Sul"/>
    <x v="41"/>
    <n v="25519"/>
    <s v="MICHAEL DOS SANTOS TEIXEIRA"/>
    <n v="22740"/>
    <s v="MATHEUS DE ATAIDE DE OLIVEIRA"/>
    <s v="ESTRELA LUZ BIFÁSICO (NOVO) (14); DELTA SMART (6)"/>
    <s v="Sim"/>
    <x v="0"/>
    <s v="MATHEUS DE ATAIDE DE OLIVEIRA"/>
    <d v="2026-08-26T14:15:38"/>
    <s v="TIAGO DE FREITAS SANTOS"/>
    <d v="2026-08-26T17:20:53"/>
    <s v="Tarde"/>
    <x v="0"/>
    <m/>
    <n v="185.3"/>
    <s v="Nao"/>
  </r>
  <r>
    <n v="52012"/>
    <s v="26-08-2026"/>
    <s v="Santo André"/>
    <s v="Leste"/>
    <x v="30"/>
    <n v="5432"/>
    <s v="SIDNEI GARCIA"/>
    <n v="24525"/>
    <s v="SHEILA PEREIRA NOGUEIRA"/>
    <s v="ESTRELA FORÇA (3); CENTRALIZADO DIRETO (NOVO) (9); TRIFASICO INDIRETO (1)"/>
    <s v="Sim"/>
    <x v="0"/>
    <s v="SIDNEI GARCIA"/>
    <d v="2026-08-26T14:15:28"/>
    <s v="ANDERSON ALEX R VIEIRA"/>
    <d v="2026-08-26T17:29:16"/>
    <s v="Tarde"/>
    <x v="0"/>
    <m/>
    <n v="193.8"/>
    <s v="Nao"/>
  </r>
  <r>
    <n v="52008"/>
    <s v="26-08-2026"/>
    <s v="Santo André"/>
    <s v="Leste"/>
    <x v="15"/>
    <n v="17569"/>
    <s v="IGOR MACEDO LOPES DA SILVA"/>
    <n v="13733"/>
    <s v="OSVALDO APARECIDO GOMES"/>
    <s v="RAMAL 10 MM TRIPLEX (NEUTRO DESENCAPADO) (50)"/>
    <s v="Sim"/>
    <x v="0"/>
    <s v="IGOR MACEDO LOPES DA SILVA"/>
    <d v="2026-08-26T14:06:15"/>
    <s v="PEDRO EUGENIO P DAMIÃO"/>
    <d v="2026-08-26T16:14:04"/>
    <s v="Tarde"/>
    <x v="0"/>
    <m/>
    <n v="127.8"/>
    <s v="Nao"/>
  </r>
  <r>
    <n v="52006"/>
    <s v="26-08-2026"/>
    <s v="Santo André"/>
    <s v="Leste"/>
    <x v="42"/>
    <n v="23163"/>
    <s v="JOAO VITOR MENDES DOS ANJOS"/>
    <n v="15753"/>
    <s v="HUGO CARLOS MARTINS DAMASCENO"/>
    <s v="FITA ISOLANTE (2); LACRE MARROM (100); ESTRELA FORÇA (18)"/>
    <s v="Sim"/>
    <x v="0"/>
    <s v="HUGO CARLOS MARTINS DAMASCENO"/>
    <d v="2026-08-26T14:01:17"/>
    <s v="ANDERSON ALEX R VIEIRA"/>
    <d v="2026-08-26T17:22:53"/>
    <s v="Tarde"/>
    <x v="0"/>
    <m/>
    <n v="201.6"/>
    <s v="Nao"/>
  </r>
  <r>
    <n v="52005"/>
    <s v="26-08-2026"/>
    <s v="Santo André"/>
    <s v="ABC Sul"/>
    <x v="43"/>
    <n v="7167"/>
    <s v="PAULO RAFAEL DO NASCIMENTO"/>
    <n v="26019"/>
    <s v="WILLIAM SILVA NASCIMENTO"/>
    <s v="RAMAL 10 MM TRIPLEX (NEUTRO DESENCAPADO) (100); ESTRELA FORÇA (6)"/>
    <s v="Sim"/>
    <x v="0"/>
    <s v="PAULO RAFAEL DO NASCIMENTO"/>
    <d v="2026-08-26T14:00:56"/>
    <s v="TIAGO DE FREITAS SANTOS"/>
    <d v="2026-08-28T17:30:24"/>
    <s v="Tarde"/>
    <x v="0"/>
    <m/>
    <n v="3089.5"/>
    <s v="Nao"/>
  </r>
  <r>
    <n v="52002"/>
    <s v="26-08-2026"/>
    <s v="Santo André"/>
    <s v="Leste"/>
    <x v="44"/>
    <n v="16210"/>
    <s v="PATRICK OLIVEIRA NASCIMENTO"/>
    <n v="17561"/>
    <s v="DANILO JOSE DA SILVA"/>
    <s v="DELTA SMART (12); PIERCING TP3 (30); PIERCING GRANDE (30)"/>
    <s v="Sim"/>
    <x v="0"/>
    <s v="DANILO JOSE DA SILVA"/>
    <d v="2026-08-26T13:55:47"/>
    <s v="TIAGO DE FREITAS SANTOS"/>
    <d v="2026-08-26T17:32:14"/>
    <s v="Tarde"/>
    <x v="0"/>
    <m/>
    <n v="216.5"/>
    <s v="Nao"/>
  </r>
  <r>
    <n v="52000"/>
    <s v="26-08-2026"/>
    <s v="Santo André"/>
    <s v="Leste"/>
    <x v="7"/>
    <n v="23359"/>
    <s v="JOYCE DA SILVA"/>
    <n v="24255"/>
    <s v="WESLEI DA SILVA GOMES"/>
    <s v="CENTRALIZADO DIRETO (NOVO) (12); DELTA SMART (12); PIERCING GRANDE (25)"/>
    <s v="Sim"/>
    <x v="0"/>
    <s v="JOYCE DA SILVA"/>
    <d v="2026-08-26T13:49:15"/>
    <s v="TIAGO DE FREITAS SANTOS"/>
    <d v="2026-08-26T16:30:24"/>
    <s v="Tarde"/>
    <x v="0"/>
    <m/>
    <n v="161.1"/>
    <s v="Nao"/>
  </r>
  <r>
    <n v="51999"/>
    <s v="26-08-2026"/>
    <s v="Santo André"/>
    <s v="Leste"/>
    <x v="45"/>
    <n v="24526"/>
    <s v="LEONDAS INACIO AVELINO FILHO"/>
    <n v="25512"/>
    <s v="GUSTAVO GARCIA SOUZA"/>
    <s v="RAMAL 10 MM TRIPLEX (NEUTRO DESENCAPADO) (50); FITA ISOLANTE (1)"/>
    <s v="Sim"/>
    <x v="0"/>
    <s v="MURILO QUEIROZ FIGUEIREDO"/>
    <d v="2026-08-26T13:48:26"/>
    <s v="PEDRO EUGENIO P DAMIÃO"/>
    <d v="2026-08-31T08:59:45"/>
    <s v="Tarde"/>
    <x v="1"/>
    <m/>
    <n v="6911.3"/>
    <s v="Nao"/>
  </r>
  <r>
    <n v="51997"/>
    <s v="26-08-2026"/>
    <s v="Santo André"/>
    <m/>
    <x v="46"/>
    <n v="13459"/>
    <s v="EDER GUILHERME DA C. FERREIRA"/>
    <n v="14181"/>
    <s v="FRANCISCO ANTONIO DA SILVA"/>
    <s v="RAMAL 10 MM TRIPLEX (NEUTRO DESENCAPADO) (50); DELTA SMART (18)"/>
    <s v="Sim"/>
    <x v="0"/>
    <s v="EDER GUILHERME DA C. FERREIRA"/>
    <d v="2026-08-26T13:44:02"/>
    <s v="TIAGO DE FREITAS SANTOS"/>
    <d v="2026-08-26T17:55:02"/>
    <s v="Tarde"/>
    <x v="0"/>
    <m/>
    <n v="251"/>
    <s v="Nao"/>
  </r>
  <r>
    <n v="51996"/>
    <s v="26-08-2026"/>
    <s v="Santo André"/>
    <s v="Leste"/>
    <x v="47"/>
    <n v="15747"/>
    <s v="GERALDO GONCALVES DE SOUZA"/>
    <n v="9895"/>
    <s v="CHARLES LIMEIRA NUNES"/>
    <s v="DELTA SMART (4); RAMAL 10 MM (QUADRUPLEX) (50)"/>
    <s v="Sim"/>
    <x v="0"/>
    <s v="GERALDO GONCALVES DE SOUZA"/>
    <d v="2026-08-26T13:42:41"/>
    <s v="PEDRO EUGENIO P DAMIÃO"/>
    <d v="2026-08-26T17:29:33"/>
    <s v="Tarde"/>
    <x v="0"/>
    <m/>
    <n v="226.9"/>
    <s v="Nao"/>
  </r>
  <r>
    <n v="51995"/>
    <s v="26-08-2026"/>
    <s v="Santo André"/>
    <s v="Leste"/>
    <x v="48"/>
    <n v="21635"/>
    <s v="VITOR DUARTE LIMA"/>
    <n v="24907"/>
    <s v="DENIS LOPES DOS SANTOS"/>
    <s v="OUTROS (100); FITA ISOLANTE (2); RAMAL 10 MM TRIPLEX (NEUTRO DESENCAPADO) (100); CABO 70 MM  (QUADRUPLEX) (30); CENTRALIZADO DIRETO (36)"/>
    <s v="Sim"/>
    <x v="0"/>
    <s v="VITOR DUARTE LIMA"/>
    <d v="2026-08-26T13:41:34"/>
    <s v="ANDERSON ALEX R VIEIRA"/>
    <d v="2026-08-26T16:55:02"/>
    <s v="Tarde"/>
    <x v="0"/>
    <m/>
    <n v="193.5"/>
    <s v="Nao"/>
  </r>
  <r>
    <n v="51993"/>
    <s v="26-08-2026"/>
    <s v="Santo André"/>
    <s v="Leste"/>
    <x v="49"/>
    <n v="21352"/>
    <s v="JUSSIENE PEREIRA BORGES"/>
    <n v="22749"/>
    <s v="VICTOR NUNES BUENO"/>
    <s v="FITA ISOLANTE (2); DELTA SMART (12); LACRE MARROM (100)"/>
    <s v="Não"/>
    <x v="0"/>
    <s v="VICTOR NUNES BUENO"/>
    <d v="2026-08-26T13:39:46"/>
    <s v="TIAGO DE FREITAS SANTOS"/>
    <d v="2026-08-26T17:40:24"/>
    <s v="Tarde"/>
    <x v="0"/>
    <m/>
    <n v="240.6"/>
    <s v="Nao"/>
  </r>
  <r>
    <n v="51985"/>
    <s v="26-08-2026"/>
    <s v="Santo André"/>
    <s v="Leste"/>
    <x v="50"/>
    <n v="13460"/>
    <s v="ELTON JOHN SILVA SANTOS"/>
    <n v="22716"/>
    <s v="CAIQUE ALVES PEREIRA"/>
    <s v="LACRE MARROM (100); ESTRELA LUZ (6); DELTA SMART (12); FITA ISOLANTE (3)"/>
    <s v="Sim"/>
    <x v="0"/>
    <s v="ELTON JOHN SILVA SANTOS"/>
    <d v="2026-08-26T13:19:13"/>
    <s v="TIAGO DE FREITAS SANTOS"/>
    <d v="2026-08-27T08:38:16"/>
    <s v="Tarde"/>
    <x v="1"/>
    <m/>
    <n v="1159"/>
    <s v="Nao"/>
  </r>
  <r>
    <n v="51984"/>
    <s v="26-08-2026"/>
    <s v="Santo André"/>
    <s v="ABC Sul"/>
    <x v="37"/>
    <n v="24775"/>
    <s v="EVERSON DA SILVA"/>
    <n v="24776"/>
    <s v="GABRIEL LIMA DE OLIVEIRA"/>
    <s v="RAMAL 10 MM TRIPLEX (NEUTRO DESENCAPADO) (100); FITA ISOLANTE (1); DELTA SMART (12); LACRE MARROM (100)"/>
    <s v="Sim"/>
    <x v="0"/>
    <s v="EVERSON DA SILVA"/>
    <d v="2026-08-26T13:17:41"/>
    <s v="TIAGO DE FREITAS SANTOS"/>
    <d v="2026-08-26T17:59:19"/>
    <s v="Tarde"/>
    <x v="0"/>
    <m/>
    <n v="281.60000000000002"/>
    <s v="Nao"/>
  </r>
  <r>
    <n v="51978"/>
    <s v="26-08-2026"/>
    <s v="Santo André"/>
    <s v="Leste"/>
    <x v="28"/>
    <n v="9757"/>
    <s v="DIOGO LUCIANO DOS SANTOS"/>
    <n v="6652"/>
    <s v="WELLINGSON FERNANDES SILVA"/>
    <s v="DELTA SMART (6)"/>
    <s v="Sim"/>
    <x v="0"/>
    <s v="DIOGO LUCIANO DOS SANTOS"/>
    <d v="2026-08-26T13:05:28"/>
    <s v="TIAGO DE FREITAS SANTOS"/>
    <d v="2026-08-26T15:55:25"/>
    <s v="Tarde"/>
    <x v="0"/>
    <m/>
    <n v="170"/>
    <s v="Nao"/>
  </r>
  <r>
    <n v="51975"/>
    <s v="26-08-2026"/>
    <s v="Santo André"/>
    <s v="Leste"/>
    <x v="29"/>
    <n v="13193"/>
    <s v="ANDRE LUIZ DA SILVA"/>
    <n v="53805"/>
    <s v="LUIZ MARQUES BEZERRA"/>
    <s v="DELTA SMART (12); PIERCING TP3 (25); PIERCING GRANDE (25)"/>
    <s v="Sim"/>
    <x v="0"/>
    <s v="CAUA PETERSON DA SILVA BEZERRA"/>
    <d v="2026-08-26T13:02:56"/>
    <s v="PEDRO EUGENIO P DAMIÃO"/>
    <d v="2026-08-27T14:10:03"/>
    <s v="Tarde"/>
    <x v="0"/>
    <m/>
    <n v="1507.1"/>
    <s v="Nao"/>
  </r>
  <r>
    <n v="51972"/>
    <s v="26-08-2026"/>
    <s v="Santo André"/>
    <s v="ABC Sul"/>
    <x v="51"/>
    <n v="17844"/>
    <s v="ITALLO VINNICIUS DE SOUSA LIMA"/>
    <n v="20033"/>
    <s v="JAILSON DOUGLAS FERREIRA GOMES"/>
    <s v="TRIFASICO INDIRETO (2); TC 200 (3)"/>
    <s v="Sim"/>
    <x v="0"/>
    <s v="ITALLO VINNICIUS DE SOUSA LIMA"/>
    <d v="2026-08-26T12:55:05"/>
    <s v="TIAGO DE FREITAS SANTOS"/>
    <d v="2026-08-26T15:54:00"/>
    <s v="Tarde"/>
    <x v="0"/>
    <m/>
    <n v="178.9"/>
    <s v="Nao"/>
  </r>
  <r>
    <n v="51959"/>
    <s v="26-08-2026"/>
    <s v="Santo André"/>
    <s v="Leste"/>
    <x v="0"/>
    <n v="21004"/>
    <s v="VITAL GABRIEL DE ARAUJO NETO"/>
    <n v="22954"/>
    <s v="LUCAS M DOS S LOMBARDI"/>
    <s v="LACRE MARROM (50); FITA ISOLANTE (2); PARAFUSO GRANDE (50); CENTRALIZADO DIRETO (30)"/>
    <s v="Sim"/>
    <x v="0"/>
    <s v="VITAL GABRIEL DE ARAUJO NETO"/>
    <d v="2026-08-26T12:28:50"/>
    <s v="TIAGO DE FREITAS SANTOS"/>
    <d v="2026-08-26T16:48:16"/>
    <s v="Tarde"/>
    <x v="0"/>
    <m/>
    <n v="259.39999999999998"/>
    <s v="Nao"/>
  </r>
  <r>
    <n v="51957"/>
    <s v="26-08-2026"/>
    <s v="Santo André"/>
    <s v="Leste"/>
    <x v="27"/>
    <n v="22717"/>
    <s v="DANIEL RODRIGUES DOS SANTOS"/>
    <n v="22741"/>
    <s v="MIGUEL FARIA PINTO"/>
    <s v="FITA ISOLANTE (2); RAMAL 10 MM TRIPLEX (NEUTRO DESENCAPADO) (50)"/>
    <s v="Sim"/>
    <x v="0"/>
    <s v="DANIEL RODRIGUES DOS SANTOS"/>
    <d v="2026-08-26T12:25:41"/>
    <s v="PEDRO EUGENIO P DAMIÃO"/>
    <d v="2026-08-31T08:53:17"/>
    <s v="Tarde"/>
    <x v="1"/>
    <m/>
    <n v="6987.6"/>
    <s v="Nao"/>
  </r>
  <r>
    <n v="51956"/>
    <s v="26-08-2026"/>
    <s v="Santo André"/>
    <s v="Sul"/>
    <x v="52"/>
    <n v="22953"/>
    <s v="JOSE EDUARDO DOMINGOS DE ABREU"/>
    <n v="25436"/>
    <s v="ALEXANDRE HENRIQUE S CREME"/>
    <s v="ESTRELA FORÇA (6); FITA ISOLANTE (2)"/>
    <s v="Sim"/>
    <x v="0"/>
    <s v="JOSE EDUARDO DOMINGOS DE ABREU"/>
    <d v="2026-08-26T12:24:08"/>
    <s v="PEDRO EUGENIO P DAMIÃO"/>
    <d v="2026-08-27T14:10:46"/>
    <s v="Tarde"/>
    <x v="0"/>
    <m/>
    <n v="1546.6"/>
    <s v="Nao"/>
  </r>
  <r>
    <n v="51941"/>
    <s v="26-08-2026"/>
    <s v="Santo André"/>
    <s v="ABC Sul"/>
    <x v="53"/>
    <n v="23353"/>
    <s v="GUSTAVO HENRIQUE S DA CUNHA"/>
    <n v="23260"/>
    <s v="PAULO ROBSON DOS SANTOS BARBOZ"/>
    <s v="DELTA SMART (6)"/>
    <s v="Sim"/>
    <x v="0"/>
    <s v="GUSTAVO HENRIQUE S DA CUNHA"/>
    <d v="2026-08-26T11:31:11"/>
    <s v="TIAGO DE FREITAS SANTOS"/>
    <d v="2026-08-27T08:39:54"/>
    <s v="Manha"/>
    <x v="1"/>
    <m/>
    <n v="1268.7"/>
    <s v="Nao"/>
  </r>
  <r>
    <n v="51938"/>
    <s v="26-08-2026"/>
    <s v="Santo André"/>
    <s v="ABC Sul"/>
    <x v="54"/>
    <n v="21475"/>
    <s v="RONNEY MACEDO DOS SANTOS"/>
    <n v="21840"/>
    <s v="LEANDRO DE SA MATOS"/>
    <s v="CENTRALIZADO DIRETO (23)"/>
    <s v="Sim"/>
    <x v="0"/>
    <s v="RONNEY MACEDO DOS SANTOS"/>
    <d v="2026-08-26T11:27:47"/>
    <s v="TIAGO DE FREITAS SANTOS"/>
    <d v="2026-08-26T17:18:58"/>
    <s v="Manha"/>
    <x v="0"/>
    <m/>
    <n v="351.2"/>
    <s v="Nao"/>
  </r>
  <r>
    <n v="51927"/>
    <s v="26-08-2026"/>
    <s v="Santo André"/>
    <s v="Leste"/>
    <x v="14"/>
    <n v="23492"/>
    <s v="VANDO BESERRA PEREIRA"/>
    <n v="18442"/>
    <s v="WARLLEY MARTINS DE SOUZA"/>
    <s v="LACRE MARROM (100); DELTA SMART (30); RAMAL 10 MM (QUADRUPLEX) (50); RAMAL 10 MM TRIPLEX (NEUTRO DESENCAPADO) (50)"/>
    <s v="Sim"/>
    <x v="0"/>
    <s v="VANDO BESERRA PEREIRA"/>
    <d v="2026-08-26T11:01:45"/>
    <s v="TIAGO DE FREITAS SANTOS"/>
    <d v="2026-08-28T17:07:52"/>
    <s v="Manha"/>
    <x v="0"/>
    <m/>
    <n v="3246.1"/>
    <s v="Nao"/>
  </r>
  <r>
    <n v="51922"/>
    <s v="26-08-2026"/>
    <s v="Santo André"/>
    <s v="Leste"/>
    <x v="34"/>
    <n v="23198"/>
    <s v="ROMARIO SANTANA DOS SANTOS"/>
    <n v="53435"/>
    <s v="WALDEMAR FREITAS SANTOS"/>
    <s v="DELTA SMART (36); FITA ISOLANTE (5)"/>
    <s v="Sim"/>
    <x v="0"/>
    <s v="WALDEMAR FREITAS SANTOS"/>
    <d v="2026-08-26T10:33:57"/>
    <s v="TIAGO DE FREITAS SANTOS"/>
    <d v="2026-08-27T08:08:18"/>
    <s v="Manha"/>
    <x v="1"/>
    <m/>
    <n v="1294.3"/>
    <s v="Nao"/>
  </r>
  <r>
    <n v="51921"/>
    <s v="26-08-2026"/>
    <s v="Santo André"/>
    <s v="ABC Sul"/>
    <x v="55"/>
    <n v="18608"/>
    <s v="GABRIEL AZEREDO DE ALMEIDA"/>
    <n v="23352"/>
    <s v="GUILHERME FERNANDES DE LIMA"/>
    <s v="DELTA SMART (24)"/>
    <s v="Sim"/>
    <x v="0"/>
    <s v="GABRIEL AZEREDO DE ALMEIDA"/>
    <d v="2026-08-26T10:30:23"/>
    <s v="ANDERSON ALEX R VIEIRA"/>
    <d v="2026-08-26T17:09:32"/>
    <s v="Manha"/>
    <x v="0"/>
    <m/>
    <n v="399.2"/>
    <s v="Nao"/>
  </r>
  <r>
    <n v="51901"/>
    <s v="26-08-2026"/>
    <s v="Santo André"/>
    <s v="Leste"/>
    <x v="56"/>
    <n v="13231"/>
    <s v="ANTONIO GERSON SENA DE JESUS"/>
    <n v="20964"/>
    <s v="FELIPE GOMES DOS SANTOS"/>
    <s v="LACRE MARROM (100); CAIXA MD. UNIFICADA (10)"/>
    <s v="Sim"/>
    <x v="0"/>
    <s v="FELIPE GOMES DOS SANTOS"/>
    <d v="2026-08-26T09:29:19"/>
    <s v="TIAGO DE FREITAS SANTOS"/>
    <d v="2026-08-26T16:34:51"/>
    <s v="Manha"/>
    <x v="0"/>
    <m/>
    <n v="425.5"/>
    <s v="Nao"/>
  </r>
  <r>
    <n v="51891"/>
    <s v="26-08-2026"/>
    <s v="Santo André"/>
    <s v="Leste"/>
    <x v="57"/>
    <n v="20999"/>
    <s v="CRISTIAN SILVA N DAMASCENO"/>
    <n v="10339"/>
    <s v="JAIME FERREIRA DA ROCHA"/>
    <s v="DELTA SMART (24)"/>
    <s v="Sim"/>
    <x v="0"/>
    <s v="CRISTIAN SILVA N DAMASCENO"/>
    <d v="2026-08-26T09:01:39"/>
    <s v="TIAGO DE FREITAS SANTOS"/>
    <d v="2026-08-26T17:01:36"/>
    <s v="Manha"/>
    <x v="0"/>
    <m/>
    <n v="480"/>
    <s v="Nao"/>
  </r>
  <r>
    <n v="51885"/>
    <s v="26-08-2026"/>
    <s v="Santo André"/>
    <s v="Leste"/>
    <x v="58"/>
    <n v="24237"/>
    <s v="RAFAEL VENANCIO B DOS SANTOS"/>
    <n v="24160"/>
    <s v="DAVID SAMUEL LUIS DE AGUIAR"/>
    <s v="LACRE PRETO (100); LACRE MARROM (100); FITA ISOLANTE (5); DELTA SMART (6)"/>
    <s v="Sim"/>
    <x v="0"/>
    <s v="FERNANDO SANTIAGO DE OLIVEIRA"/>
    <d v="2026-08-26T08:51:16"/>
    <s v="TIAGO DE FREITAS SANTOS"/>
    <d v="2026-08-26T09:04:34"/>
    <s v="Manha"/>
    <x v="1"/>
    <s v="Sim"/>
    <n v="13.3"/>
    <s v="Sim"/>
  </r>
  <r>
    <n v="51865"/>
    <s v="26-08-2026"/>
    <s v="Santo André"/>
    <s v="Sul"/>
    <x v="59"/>
    <n v="19037"/>
    <s v="GABRIEL SOUSA DE OLIVEIRA"/>
    <n v="25973"/>
    <s v="MURILO A DOS S GRIZOSTINO"/>
    <s v="LACRE MARROM (100)"/>
    <s v="Não"/>
    <x v="0"/>
    <s v="GABRIEL SOUSA DE OLIVEIRA"/>
    <d v="2026-08-26T08:13:33"/>
    <s v="TIAGO DE FREITAS SANTOS"/>
    <d v="2026-08-26T08:19:30"/>
    <s v="Manha"/>
    <x v="1"/>
    <s v="Sim"/>
    <n v="6"/>
    <s v="Sim"/>
  </r>
  <r>
    <n v="51860"/>
    <s v="26-08-2026"/>
    <s v="Santo André"/>
    <s v="Leste"/>
    <x v="60"/>
    <n v="24879"/>
    <s v="EMMANUEL VICTOR PEREIRA"/>
    <n v="19483"/>
    <s v="CLEBER PENA VIEIRA DA SILVA"/>
    <s v="DELTA SMART (12); RAMAL 10 MM TRIPLEX (NEUTRO DESENCAPADO) (50)"/>
    <s v="Sim"/>
    <x v="0"/>
    <s v="CLEBER PENA VIEIRA DA SILVA"/>
    <d v="2026-08-26T07:58:16"/>
    <s v="TIAGO DE FREITAS SANTOS"/>
    <d v="2026-08-26T08:20:13"/>
    <s v="Manha"/>
    <x v="1"/>
    <s v="Sim"/>
    <n v="22"/>
    <s v="Sim"/>
  </r>
  <r>
    <n v="51853"/>
    <s v="26-08-2026"/>
    <s v="Santo André"/>
    <s v="Leste"/>
    <x v="61"/>
    <n v="20142"/>
    <s v="CRISTIANO DE SOUZA SILVA"/>
    <n v="23087"/>
    <s v="DENER NASCIMENTO R PEREIRA"/>
    <s v="ESTRELA LUZ (4); PIERCING GRANDE SOC (20)"/>
    <s v="Sim"/>
    <x v="0"/>
    <s v="MIGUEL FARIA PINTO"/>
    <d v="2026-08-26T07:48:45"/>
    <s v="PEDRO EUGENIO P DAMIÃO"/>
    <d v="2026-08-27T14:09:37"/>
    <s v="Manha"/>
    <x v="0"/>
    <m/>
    <n v="1820.9"/>
    <s v="Nao"/>
  </r>
  <r>
    <n v="51850"/>
    <s v="26-08-2026"/>
    <s v="Santo André"/>
    <s v="Leste"/>
    <x v="31"/>
    <n v="53407"/>
    <s v="CARLOS RIBEIRO DE ALMEIDA"/>
    <n v="10653"/>
    <s v="VLADEMIR LOPES DA SILVA"/>
    <s v="DELTA SMART (12); FITA ISOLANTE (1); CAIXA MD. UNIFICADA (16); CABO BICONCENTRICO NOVO (200)"/>
    <s v="Sim"/>
    <x v="0"/>
    <s v="VLADEMIR LOPES DA SILVA"/>
    <d v="2026-08-26T07:46:42"/>
    <s v="TIAGO DE FREITAS SANTOS"/>
    <d v="2026-08-27T08:06:35"/>
    <s v="Manha"/>
    <x v="1"/>
    <m/>
    <n v="1459.9"/>
    <s v="Nao"/>
  </r>
  <r>
    <n v="51845"/>
    <s v="26-08-2026"/>
    <s v="Santo André"/>
    <s v="Leste"/>
    <x v="62"/>
    <n v="25861"/>
    <s v="WELBERT DA ANUNCIACAO AQUINO"/>
    <n v="25764"/>
    <s v="LEONARDO JOAQUIM DOS SANTOS"/>
    <s v="DELTA SMART (12)"/>
    <s v="Sim"/>
    <x v="0"/>
    <s v="MATHEUS P DE OLIVEIRA SILVA"/>
    <d v="2026-08-26T07:43:06"/>
    <s v="TIAGO DE FREITAS SANTOS"/>
    <d v="2026-08-26T08:01:54"/>
    <s v="Manha"/>
    <x v="1"/>
    <s v="Sim"/>
    <n v="18.8"/>
    <s v="Sim"/>
  </r>
  <r>
    <n v="51840"/>
    <s v="26-08-2026"/>
    <s v="Santo André"/>
    <s v="Leste"/>
    <x v="63"/>
    <n v="9020"/>
    <s v="TIAGO SOARES NORONHA"/>
    <n v="24163"/>
    <s v="LUIZ GUSTAVO LEANDRO SANTOS"/>
    <s v="DELTA SMART (12); ESTRELA FORÇA (6)"/>
    <s v="Sim"/>
    <x v="0"/>
    <s v="TIAGO SOARES NORONHA"/>
    <d v="2026-08-26T07:38:48"/>
    <s v="TIAGO DE FREITAS SANTOS"/>
    <d v="2026-08-26T08:24:06"/>
    <s v="Manha"/>
    <x v="1"/>
    <s v="Sim"/>
    <n v="45.3"/>
    <s v="Sim"/>
  </r>
  <r>
    <n v="51832"/>
    <s v="26-08-2026"/>
    <s v="Santo André"/>
    <s v="Leste"/>
    <x v="0"/>
    <n v="21004"/>
    <s v="VITAL GABRIEL DE ARAUJO NETO"/>
    <n v="22954"/>
    <s v="LUCAS M DOS S LOMBARDI"/>
    <s v="LACRE MARROM (50); CENTRALIZADO DIRETO (12)"/>
    <s v="Sim"/>
    <x v="0"/>
    <s v="VITAL GABRIEL DE ARAUJO NETO"/>
    <d v="2026-08-26T07:04:33"/>
    <s v="PEDRO EUGENIO P DAMIÃO"/>
    <d v="2026-08-26T07:43:12"/>
    <s v="Manha"/>
    <x v="1"/>
    <s v="Sim"/>
    <n v="38.6"/>
    <s v="Sim"/>
  </r>
  <r>
    <n v="51823"/>
    <s v="25-08-2026"/>
    <s v="Santo André"/>
    <s v="Leste"/>
    <x v="64"/>
    <n v="23149"/>
    <s v="ALEX HENRIQUE ODILON DA SILVA"/>
    <n v="20997"/>
    <s v="CARLITO JACINTO MOREIRA JUNIOR"/>
    <s v="TC 200 (3)"/>
    <s v="Sim"/>
    <x v="0"/>
    <s v="CARLITO JACINTO MOREIRA JUNIOR"/>
    <d v="2026-08-25T17:32:04"/>
    <s v="TIAGO DE FREITAS SANTOS"/>
    <d v="2026-08-25T17:44:11"/>
    <s v="Tarde"/>
    <x v="0"/>
    <m/>
    <n v="12.1"/>
    <s v="Nao"/>
  </r>
  <r>
    <n v="51820"/>
    <s v="25-08-2026"/>
    <s v="Santo André"/>
    <s v="Leste"/>
    <x v="19"/>
    <n v="21946"/>
    <s v="JEFFERSON HENRIQUE A DA SILVA"/>
    <n v="22739"/>
    <s v="MATEUS DOMINGUES MOURA"/>
    <s v="TC 200 (3); TRIFASICO INDIRETO (1)"/>
    <s v="Sim"/>
    <x v="0"/>
    <s v="MATEUS DOMINGUES MOURA"/>
    <d v="2026-08-25T17:06:42"/>
    <s v="TIAGO DE FREITAS SANTOS"/>
    <d v="2026-08-25T17:15:44"/>
    <s v="Tarde"/>
    <x v="0"/>
    <m/>
    <n v="9"/>
    <s v="Nao"/>
  </r>
  <r>
    <n v="51810"/>
    <s v="25-08-2026"/>
    <s v="Santo André"/>
    <s v="Leste"/>
    <x v="19"/>
    <n v="21946"/>
    <s v="JEFFERSON HENRIQUE A DA SILVA"/>
    <n v="22739"/>
    <s v="MATEUS DOMINGUES MOURA"/>
    <s v="TRIFASICO INDIRETO (1); TC 200 (3)"/>
    <s v="Não"/>
    <x v="0"/>
    <s v="MATEUS DOMINGUES MOURA"/>
    <d v="2026-08-25T16:21:55"/>
    <s v="TIAGO DE FREITAS SANTOS"/>
    <d v="2026-08-25T16:43:09"/>
    <s v="Tarde"/>
    <x v="0"/>
    <m/>
    <n v="21.2"/>
    <s v="Nao"/>
  </r>
  <r>
    <n v="51798"/>
    <s v="25-08-2026"/>
    <s v="Santo André"/>
    <s v="Sul"/>
    <x v="8"/>
    <n v="9893"/>
    <s v="ARIEL SOARES LIMA"/>
    <n v="22731"/>
    <s v="JOAO VITOR DE LIMA DE SOUZA"/>
    <s v="TRIFASICO INDIRETO GD (2); TRIFASICO INDIRETO (2)"/>
    <s v="Sim"/>
    <x v="0"/>
    <s v="ARIEL SOARES LIMA"/>
    <d v="2026-08-25T15:01:52"/>
    <s v="TIAGO DE FREITAS SANTOS"/>
    <d v="2026-08-25T17:29:03"/>
    <s v="Tarde"/>
    <x v="0"/>
    <m/>
    <n v="147.19999999999999"/>
    <s v="Nao"/>
  </r>
  <r>
    <n v="51797"/>
    <s v="25-08-2026"/>
    <s v="Santo André"/>
    <s v="Leste"/>
    <x v="22"/>
    <n v="6763"/>
    <s v="JEFFERSON LUIZ ANDRADE DA S."/>
    <n v="13042"/>
    <s v="GILMAR DE OLIVEIRA"/>
    <s v="LACRE MARROM (100); FITA ISOLANTE (2); RAMAL 10 MM TRIPLEX (NEUTRO DESENCAPADO) (100)"/>
    <s v="Sim"/>
    <x v="0"/>
    <s v="JEFFERSON LUIZ ANDRADE DA S."/>
    <d v="2026-08-25T15:00:13"/>
    <s v="PEDRO EUGENIO P DAMIÃO"/>
    <d v="2026-08-26T08:33:39"/>
    <s v="Tarde"/>
    <x v="1"/>
    <m/>
    <n v="1053.4000000000001"/>
    <s v="Nao"/>
  </r>
  <r>
    <n v="51795"/>
    <s v="25-08-2026"/>
    <s v="Santo André"/>
    <s v="Leste"/>
    <x v="65"/>
    <n v="21630"/>
    <s v="MAURILIO MACEDO MOREIRA"/>
    <n v="21979"/>
    <s v="LUCAS PIRES DO NASCIMENTO"/>
    <s v="LACRE MARROM (100); FITA ISOLANTE (1)"/>
    <s v="Não"/>
    <x v="0"/>
    <s v="LUCAS PIRES DO NASCIMENTO"/>
    <d v="2026-08-25T14:54:54"/>
    <s v="TIAGO DE FREITAS SANTOS"/>
    <d v="2026-08-26T08:30:49"/>
    <s v="Tarde"/>
    <x v="1"/>
    <m/>
    <n v="1055.9000000000001"/>
    <s v="Nao"/>
  </r>
  <r>
    <n v="51792"/>
    <s v="25-08-2026"/>
    <s v="Santo André"/>
    <s v="ABC Sul"/>
    <x v="66"/>
    <n v="19049"/>
    <s v="HELIO PRATES BENTO"/>
    <n v="19905"/>
    <s v="JULIO CESAR BRANDAO DE LIMA"/>
    <s v="LACRE MARROM (100); FITA ISOLANTE (3); CENTRALIZADO DIRETO (12); CABO 25 MM  (QUADRUPLEX) (30)"/>
    <s v="Sim"/>
    <x v="0"/>
    <s v="JULIO CESAR BRANDAO DE LIMA"/>
    <d v="2026-08-25T14:47:00"/>
    <s v="TIAGO DE FREITAS SANTOS"/>
    <d v="2026-08-26T08:27:35"/>
    <s v="Tarde"/>
    <x v="1"/>
    <m/>
    <n v="1060.5999999999999"/>
    <s v="Nao"/>
  </r>
  <r>
    <n v="51791"/>
    <s v="25-08-2026"/>
    <s v="Santo André"/>
    <s v="Leste"/>
    <x v="25"/>
    <n v="18059"/>
    <s v="FELIPE HELIO R DOS SANTOS"/>
    <n v="23357"/>
    <s v="JONATHAN VITOR DE B DA SILVA"/>
    <s v="ESTRELA FORÇA (10); RAMAL 10 MM TRIPLEX (NEUTRO DESENCAPADO) (50); LACRE MARROM (100)"/>
    <s v="Sim"/>
    <x v="0"/>
    <s v="FELIPE HELIO R DOS SANTOS"/>
    <d v="2026-08-25T14:43:13"/>
    <s v="TIAGO DE FREITAS SANTOS"/>
    <d v="2026-08-26T07:48:29"/>
    <s v="Tarde"/>
    <x v="1"/>
    <m/>
    <n v="1025.3"/>
    <s v="Nao"/>
  </r>
  <r>
    <n v="51788"/>
    <s v="25-08-2026"/>
    <s v="Santo André"/>
    <s v="Sul"/>
    <x v="67"/>
    <n v="24767"/>
    <s v="CAMILO PEREIRA DE LIMA"/>
    <n v="24794"/>
    <s v="LEONARDO JOSE SOARES"/>
    <s v="DELTA SMART (12); FITA ISOLANTE (2); RAMAL 10 MM TRIPLEX (NEUTRO DESENCAPADO) (50); ESTRELA FORÇA (4); ALÇA 25 MM (10)"/>
    <s v="Sim"/>
    <x v="0"/>
    <s v="CAMILO PEREIRA DE LIMA"/>
    <d v="2026-08-25T14:33:15"/>
    <s v="TIAGO DE FREITAS SANTOS"/>
    <d v="2026-08-25T17:24:02"/>
    <s v="Tarde"/>
    <x v="0"/>
    <m/>
    <n v="170.8"/>
    <s v="Nao"/>
  </r>
  <r>
    <n v="51787"/>
    <s v="25-08-2026"/>
    <s v="Santo André"/>
    <s v="Leste"/>
    <x v="12"/>
    <n v="17448"/>
    <s v="RICARDO COUTO SOARES"/>
    <n v="19473"/>
    <s v="IZAQUE NEVES DA SILVA"/>
    <s v="ESTRELA LUZ BIFÁSICO (NOVO) (6); RAMAL 10 MM TRIPLEX (NEUTRO DESENCAPADO) (100)"/>
    <s v="Sim"/>
    <x v="0"/>
    <s v="IZAQUE NEVES DA SILVA"/>
    <d v="2026-08-25T14:32:30"/>
    <s v="TIAGO DE FREITAS SANTOS"/>
    <d v="2026-08-25T16:44:33"/>
    <s v="Tarde"/>
    <x v="0"/>
    <m/>
    <n v="132"/>
    <s v="Nao"/>
  </r>
  <r>
    <n v="51785"/>
    <s v="25-08-2026"/>
    <s v="Santo André"/>
    <s v="Leste"/>
    <x v="64"/>
    <n v="23149"/>
    <s v="ALEX HENRIQUE ODILON DA SILVA"/>
    <n v="20997"/>
    <s v="CARLITO JACINTO MOREIRA JUNIOR"/>
    <s v="ESTRELA LUZ BIFÁSICO (NOVO) (24); ESTRELA FORÇA (24)"/>
    <s v="Sim"/>
    <x v="0"/>
    <s v="CARLITO JACINTO MOREIRA JUNIOR"/>
    <d v="2026-08-25T14:26:37"/>
    <s v="TIAGO DE FREITAS SANTOS"/>
    <d v="2026-08-25T17:10:28"/>
    <s v="Tarde"/>
    <x v="0"/>
    <m/>
    <n v="163.80000000000001"/>
    <s v="Nao"/>
  </r>
  <r>
    <n v="51784"/>
    <s v="25-08-2026"/>
    <s v="Santo André"/>
    <s v="ABC Sul"/>
    <x v="54"/>
    <n v="21475"/>
    <s v="RONNEY MACEDO DOS SANTOS"/>
    <n v="21840"/>
    <s v="LEANDRO DE SA MATOS"/>
    <s v="RAMAL 10 MM TRIPLEX (NEUTRO DESENCAPADO) (50); FITA ISOLANTE (3); DELTA SMART (6); LACRE MARROM (25)"/>
    <s v="Sim"/>
    <x v="0"/>
    <s v="RONNEY MACEDO DOS SANTOS"/>
    <d v="2026-08-25T14:25:55"/>
    <s v="TIAGO DE FREITAS SANTOS"/>
    <d v="2026-08-25T17:26:22"/>
    <s v="Tarde"/>
    <x v="0"/>
    <m/>
    <n v="180.5"/>
    <s v="Nao"/>
  </r>
  <r>
    <n v="51783"/>
    <s v="25-08-2026"/>
    <s v="Santo André"/>
    <s v="ABC Sul"/>
    <x v="68"/>
    <n v="24229"/>
    <s v="DOUGLAS DE SOUZA ALBUQUERQUE"/>
    <n v="24875"/>
    <s v="IZAIAS ANTONIO DA SILVA"/>
    <s v="CENTRALIZADO DIRETO (NOVO) (1); FITA ISOLANTE (4); CENTRALIZADO DIRETO (30)"/>
    <s v="Sim"/>
    <x v="0"/>
    <s v="DOUGLAS DE SOUZA ALBUQUERQUE"/>
    <d v="2026-08-25T14:25:49"/>
    <s v="PEDRO EUGENIO P DAMIÃO"/>
    <d v="2026-08-25T17:34:17"/>
    <s v="Tarde"/>
    <x v="0"/>
    <m/>
    <n v="188.5"/>
    <s v="Nao"/>
  </r>
  <r>
    <n v="51782"/>
    <s v="25-08-2026"/>
    <s v="Santo André"/>
    <s v="ABC Sul"/>
    <x v="35"/>
    <n v="12445"/>
    <s v="DIEGO FERREIRA VILAS BOAS"/>
    <n v="10613"/>
    <s v="MARCO AURELIO DE O. BENTO"/>
    <s v="RAMAL 10 MM TRIPLEX (NEUTRO DESENCAPADO) (50); LACRE MARROM (100); DELTA SMART (50); FITA ISOLANTE (2)"/>
    <s v="Sim"/>
    <x v="0"/>
    <s v="DIEGO FERREIRA VILAS BOAS"/>
    <d v="2026-08-25T14:10:08"/>
    <s v="TIAGO DE FREITAS SANTOS"/>
    <d v="2026-08-25T16:06:15"/>
    <s v="Tarde"/>
    <x v="0"/>
    <m/>
    <n v="116.1"/>
    <s v="Nao"/>
  </r>
  <r>
    <n v="51780"/>
    <s v="25-08-2026"/>
    <s v="Santo André"/>
    <s v="ABC Sul"/>
    <x v="69"/>
    <n v="25719"/>
    <s v="KELY DUARTE FURTADO"/>
    <n v="25440"/>
    <s v="PEDRO DANIEL CAMARGO D SANTOS"/>
    <s v="DELTA SMART (24); ESTRELA LUZ BIFÁSICO (NOVO) (10); FITA ISOLANTE (3); ESTRELA FORÇA (10); TRIFASICO INDIRETO GD (1); RAMAL 10 MM TRIPLEX (NEUTRO DESENCAPADO) (100)"/>
    <s v="Sim"/>
    <x v="0"/>
    <s v="THIAGO TELES RIBEIRO"/>
    <d v="2026-08-25T14:05:51"/>
    <s v="TIAGO DE FREITAS SANTOS"/>
    <d v="2026-08-25T17:12:40"/>
    <s v="Tarde"/>
    <x v="0"/>
    <m/>
    <n v="186.8"/>
    <s v="Nao"/>
  </r>
  <r>
    <n v="51779"/>
    <s v="25-08-2026"/>
    <s v="Santo André"/>
    <s v="Sul"/>
    <x v="70"/>
    <n v="24773"/>
    <s v="EDERSON BARBOSA BATISTA"/>
    <n v="25509"/>
    <s v="DIEGO MOURA DA SILVA"/>
    <s v="LACRE PRETO (2); FITA ISOLANTE (2)"/>
    <s v="Não"/>
    <x v="0"/>
    <s v="EDERSON BARBOSA BATISTA"/>
    <d v="2026-08-25T14:03:12"/>
    <s v="TIAGO DE FREITAS SANTOS"/>
    <d v="2026-08-25T16:56:13"/>
    <s v="Tarde"/>
    <x v="0"/>
    <m/>
    <n v="173"/>
    <s v="Nao"/>
  </r>
  <r>
    <n v="51777"/>
    <s v="25-08-2026"/>
    <s v="Santo André"/>
    <s v="ABC Sul"/>
    <x v="71"/>
    <n v="19062"/>
    <s v="KEVIN CHRISTIAN LAPA TARGINO"/>
    <n v="18610"/>
    <s v="HENRIQUE VELLOSO LEITE"/>
    <s v="DELTA SMART (18); CENTRALIZADO DIRETO (NOVO) (12); PARAFUSO MÉDIO (50); ESTRELA LUZ (10); ESTRELA FORÇA (10); TRIFASICO INDIRETO GD (2); ESTRELA FORÇA GD (2); CABO 25 MM  (QUADRUPLEX) (30)"/>
    <s v="Sim"/>
    <x v="0"/>
    <s v="KEVIN CHRISTIAN LAPA TARGINO"/>
    <d v="2026-08-25T13:59:35"/>
    <s v="TIAGO DE FREITAS SANTOS"/>
    <d v="2026-08-25T16:30:21"/>
    <s v="Tarde"/>
    <x v="0"/>
    <m/>
    <n v="150.80000000000001"/>
    <s v="Nao"/>
  </r>
  <r>
    <n v="51767"/>
    <s v="25-08-2026"/>
    <s v="Santo André"/>
    <s v="ABC Sul"/>
    <x v="72"/>
    <n v="20602"/>
    <s v="VANDELCI ELEUTERIO DA SILVA"/>
    <n v="21517"/>
    <s v="KELVIN SOUZA SANTOS"/>
    <s v="LACRE MARROM (50); FITA ISOLANTE (2)"/>
    <s v="Não"/>
    <x v="0"/>
    <s v="KELVIN SOUZA SANTOS"/>
    <d v="2026-08-25T13:36:55"/>
    <s v="TIAGO DE FREITAS SANTOS"/>
    <d v="2026-08-25T16:35:14"/>
    <s v="Tarde"/>
    <x v="0"/>
    <m/>
    <n v="178.3"/>
    <s v="Nao"/>
  </r>
  <r>
    <n v="51758"/>
    <s v="25-08-2026"/>
    <s v="Santo André"/>
    <s v="Leste"/>
    <x v="15"/>
    <n v="17569"/>
    <s v="IGOR MACEDO LOPES DA SILVA"/>
    <n v="13733"/>
    <s v="OSVALDO APARECIDO GOMES"/>
    <s v="RAMAL 10 MM TRIPLEX (NEUTRO DESENCAPADO) (50)"/>
    <s v="Sim"/>
    <x v="0"/>
    <s v="IGOR MACEDO LOPES DA SILVA"/>
    <d v="2026-08-25T13:01:21"/>
    <s v="PEDRO EUGENIO P DAMIÃO"/>
    <d v="2026-08-25T15:27:49"/>
    <s v="Tarde"/>
    <x v="0"/>
    <m/>
    <n v="146.5"/>
    <s v="Nao"/>
  </r>
  <r>
    <n v="51756"/>
    <s v="25-08-2026"/>
    <s v="Santo André"/>
    <s v="Leste"/>
    <x v="28"/>
    <n v="9757"/>
    <s v="DIOGO LUCIANO DOS SANTOS"/>
    <n v="6652"/>
    <s v="WELLINGSON FERNANDES SILVA"/>
    <s v="DELTA SMART (18); LACRE MARROM (50)"/>
    <s v="Sim"/>
    <x v="0"/>
    <s v="DIOGO LUCIANO DOS SANTOS"/>
    <d v="2026-08-25T13:00:17"/>
    <s v="TIAGO DE FREITAS SANTOS"/>
    <d v="2026-08-25T16:09:38"/>
    <s v="Tarde"/>
    <x v="0"/>
    <m/>
    <n v="189.3"/>
    <s v="Nao"/>
  </r>
  <r>
    <n v="51744"/>
    <s v="25-08-2026"/>
    <s v="Santo André"/>
    <s v="ABC Sul"/>
    <x v="73"/>
    <n v="19913"/>
    <s v="FELIPE RODRIGUES HARO"/>
    <n v="25942"/>
    <s v="WILLIAM MANUEL BOLIVAR NOGUERA"/>
    <s v="DELTA GD (3); DELTA SMART (12); LACRE MARROM (50); ESTRELA LUZ (2)"/>
    <s v="Sim"/>
    <x v="0"/>
    <s v="FELIPE RODRIGUES HARO"/>
    <d v="2026-08-25T12:38:43"/>
    <s v="TIAGO DE FREITAS SANTOS"/>
    <d v="2026-08-25T16:21:03"/>
    <s v="Tarde"/>
    <x v="0"/>
    <m/>
    <n v="222.3"/>
    <s v="Nao"/>
  </r>
  <r>
    <n v="51732"/>
    <s v="25-08-2026"/>
    <s v="Santo André"/>
    <s v="Leste"/>
    <x v="30"/>
    <n v="5432"/>
    <s v="SIDNEI GARCIA"/>
    <n v="24525"/>
    <s v="SHEILA PEREIRA NOGUEIRA"/>
    <s v="FITA ISOLANTE (1); LACRE MARROM (100); TRIFASICO INDIRETO GD (1); DELTA GD (1)"/>
    <s v="Sim"/>
    <x v="0"/>
    <s v="SIDNEI GARCIA"/>
    <d v="2026-08-25T12:16:52"/>
    <s v="TIAGO DE FREITAS SANTOS"/>
    <d v="2026-08-25T18:01:15"/>
    <s v="Tarde"/>
    <x v="0"/>
    <m/>
    <n v="344.4"/>
    <s v="Nao"/>
  </r>
  <r>
    <n v="51717"/>
    <s v="25-08-2026"/>
    <s v="Santo André"/>
    <s v="Leste"/>
    <x v="21"/>
    <n v="23931"/>
    <s v="VINICIUS E MACEDO RODRIGUES"/>
    <n v="25517"/>
    <s v="LUIS FERNANDO FURQUIM DE SOUSA"/>
    <s v="CENTRALIZADO DIRETO (NOVO) (10)"/>
    <s v="Sim"/>
    <x v="0"/>
    <s v="LUIZ FELIPE DOS SANTOS DANTAS"/>
    <d v="2026-08-25T11:32:52"/>
    <s v="TIAGO DE FREITAS SANTOS"/>
    <d v="2026-08-25T16:57:40"/>
    <s v="Manha"/>
    <x v="0"/>
    <m/>
    <n v="324.8"/>
    <s v="Nao"/>
  </r>
  <r>
    <n v="51711"/>
    <s v="25-08-2026"/>
    <s v="Santo André"/>
    <s v="Leste"/>
    <x v="74"/>
    <n v="17967"/>
    <s v="UMBERTO CORREIA DOS SANTOS JR"/>
    <n v="17966"/>
    <s v="RAFAEL DE ALMEIDA COSTA DINIZ"/>
    <s v="LACRE MARROM (25); FITA ISOLANTE (1); CENTRALIZADO DIRETO (NOVO) (25)"/>
    <s v="Sim"/>
    <x v="0"/>
    <s v="UMBERTO CORREIA DOS SANTOS JR"/>
    <d v="2026-08-25T11:14:22"/>
    <s v="TIAGO DE FREITAS SANTOS"/>
    <d v="2026-08-25T17:19:32"/>
    <s v="Manha"/>
    <x v="0"/>
    <m/>
    <n v="365.2"/>
    <s v="Nao"/>
  </r>
  <r>
    <n v="51706"/>
    <s v="25-08-2026"/>
    <s v="Santo André"/>
    <s v="Leste"/>
    <x v="26"/>
    <n v="7315"/>
    <s v="MARCIO WILLIAM GOMES DA CRUZ"/>
    <n v="14432"/>
    <s v="VITOR SANTOS DE LIMA"/>
    <s v="FITA ISOLANTE (2); LACRE MARROM (100); DELTA SMART (30)"/>
    <s v="Sim"/>
    <x v="0"/>
    <s v="NICOLAS DOLIVEIRA CASTRO"/>
    <d v="2026-08-25T10:47:59"/>
    <s v="TIAGO DE FREITAS SANTOS"/>
    <d v="2026-08-25T17:49:27"/>
    <s v="Manha"/>
    <x v="0"/>
    <m/>
    <n v="421.5"/>
    <s v="Nao"/>
  </r>
  <r>
    <n v="51705"/>
    <s v="25-08-2026"/>
    <s v="Santo André"/>
    <s v="Leste"/>
    <x v="75"/>
    <n v="17517"/>
    <s v="JEAN DE SOUZA MIRANDA"/>
    <n v="18521"/>
    <s v="ANDERSON WILDENER DE S SILVA"/>
    <s v="ESTRELA LUZ (24); DELTA SMART (30); FITA ISOLANTE (2); RAMAL 10 MM TRIPLEX (NEUTRO DESENCAPADO) (50)"/>
    <s v="Sim"/>
    <x v="0"/>
    <s v="JEAN DE SOUZA MIRANDA"/>
    <d v="2026-08-25T10:45:33"/>
    <s v="TIAGO DE FREITAS SANTOS"/>
    <d v="2026-08-25T16:16:08"/>
    <s v="Manha"/>
    <x v="0"/>
    <m/>
    <n v="330.6"/>
    <s v="Nao"/>
  </r>
  <r>
    <n v="51701"/>
    <s v="25-08-2026"/>
    <s v="Santo André"/>
    <s v="ABC Sul"/>
    <x v="76"/>
    <n v="20829"/>
    <s v="RODRIGO AMANCIO DOS S LIMA"/>
    <n v="23160"/>
    <s v="GUSTAVO HENRIQUE DOS S BARBOZA"/>
    <s v="DELTA SMART (6)"/>
    <s v="Sim"/>
    <x v="0"/>
    <s v="RODRIGO AMANCIO DOS S LIMA"/>
    <d v="2026-08-25T10:22:35"/>
    <s v="TIAGO DE FREITAS SANTOS"/>
    <d v="2026-08-26T07:38:53"/>
    <s v="Manha"/>
    <x v="1"/>
    <m/>
    <n v="1276.3"/>
    <s v="Nao"/>
  </r>
  <r>
    <n v="51700"/>
    <s v="25-08-2026"/>
    <s v="Santo André"/>
    <s v="Sul"/>
    <x v="59"/>
    <n v="19037"/>
    <s v="GABRIEL SOUSA DE OLIVEIRA"/>
    <n v="25973"/>
    <s v="MURILO A DOS S GRIZOSTINO"/>
    <s v="TRIFASICO INDIRETO GD (2); TC 200 (6); TRIFASICO INDIRETO (3); DELTA SMART (30); LACRE MARROM (50)"/>
    <s v="Sim"/>
    <x v="0"/>
    <s v="GABRIEL SOUSA DE OLIVEIRA"/>
    <d v="2026-08-25T10:17:42"/>
    <s v="TIAGO DE FREITAS SANTOS"/>
    <d v="2026-08-25T16:41:51"/>
    <s v="Manha"/>
    <x v="0"/>
    <m/>
    <n v="384.2"/>
    <s v="Nao"/>
  </r>
  <r>
    <n v="51685"/>
    <s v="25-08-2026"/>
    <s v="Santo André"/>
    <s v="Leste"/>
    <x v="31"/>
    <n v="53407"/>
    <s v="CARLOS RIBEIRO DE ALMEIDA"/>
    <n v="10653"/>
    <s v="VLADEMIR LOPES DA SILVA"/>
    <s v="PARAF. 16MM X 150MM (25); FITA ISOLANTE (1)"/>
    <s v="Não"/>
    <x v="0"/>
    <s v="VLADEMIR LOPES DA SILVA"/>
    <d v="2026-08-25T08:56:21"/>
    <s v="TIAGO DE FREITAS SANTOS"/>
    <d v="2026-08-26T07:33:00"/>
    <s v="Manha"/>
    <x v="1"/>
    <m/>
    <n v="1356.7"/>
    <s v="Nao"/>
  </r>
  <r>
    <n v="51679"/>
    <s v="25-08-2026"/>
    <s v="Santo André"/>
    <s v="Leste"/>
    <x v="77"/>
    <n v="22730"/>
    <s v="HUGO LAERTE SANTOS DA SILVA"/>
    <n v="10646"/>
    <s v="ATILA SACRAMENTO SILVA"/>
    <s v="PARAF. 16MM X 45MM (20); CENTRALIZADO DIRETO (20)"/>
    <s v="Sim"/>
    <x v="0"/>
    <s v="HUGO LAERTE SANTOS DA SILVA"/>
    <d v="2026-08-25T08:46:15"/>
    <s v="TIAGO DE FREITAS SANTOS"/>
    <d v="2026-08-25T09:36:24"/>
    <s v="Manha"/>
    <x v="1"/>
    <s v="Sim"/>
    <n v="50.1"/>
    <s v="Sim"/>
  </r>
  <r>
    <n v="51678"/>
    <s v="25-08-2026"/>
    <s v="Santo André"/>
    <s v="Leste"/>
    <x v="27"/>
    <n v="22717"/>
    <s v="DANIEL RODRIGUES DOS SANTOS"/>
    <n v="22741"/>
    <s v="MIGUEL FARIA PINTO"/>
    <s v="FITA ISOLANTE (2); RAMAL 10 MM (QUADRUPLEX) (100); RAMAL 10 MM TRIPLEX (NEUTRO DESENCAPADO) (50)"/>
    <s v="Sim"/>
    <x v="0"/>
    <s v="DANIEL RODRIGUES DOS SANTOS"/>
    <d v="2026-08-25T08:45:20"/>
    <s v="PEDRO EUGENIO P DAMIÃO"/>
    <d v="2026-08-25T16:40:29"/>
    <s v="Manha"/>
    <x v="0"/>
    <m/>
    <n v="475.2"/>
    <s v="Nao"/>
  </r>
  <r>
    <n v="51673"/>
    <s v="25-08-2026"/>
    <s v="Santo André"/>
    <s v="Leste"/>
    <x v="10"/>
    <n v="21948"/>
    <s v="ARINELSON DA SILVA LOPES"/>
    <n v="23088"/>
    <s v="ERICK DE OLIVEIRA COSTA"/>
    <s v="CENTRALIZADO DIRETO (50)"/>
    <s v="Sim"/>
    <x v="0"/>
    <s v="ARINELSON DA SILVA LOPES"/>
    <d v="2026-08-25T08:36:20"/>
    <s v="TIAGO DE FREITAS SANTOS"/>
    <d v="2026-08-25T09:34:09"/>
    <s v="Manha"/>
    <x v="1"/>
    <s v="Sim"/>
    <n v="57.8"/>
    <s v="Sim"/>
  </r>
  <r>
    <n v="51670"/>
    <s v="25-08-2026"/>
    <s v="Santo André"/>
    <s v="Leste"/>
    <x v="78"/>
    <n v="3987"/>
    <s v="EDSON SILVA NASCIMENTO"/>
    <n v="4732"/>
    <s v="JANILDO NOBRE EVANGELISTA"/>
    <s v="CABO 25 MM (TRIPLEX) (30)"/>
    <s v="Sim"/>
    <x v="0"/>
    <s v="EDSON SILVA NASCIMENTO"/>
    <d v="2026-08-25T08:28:22"/>
    <s v="PEDRO EUGENIO P DAMIÃO"/>
    <d v="2026-08-25T08:38:20"/>
    <s v="Manha"/>
    <x v="1"/>
    <s v="Sim"/>
    <n v="10"/>
    <s v="Sim"/>
  </r>
  <r>
    <n v="51665"/>
    <s v="25-08-2026"/>
    <s v="Santo André"/>
    <s v="Leste"/>
    <x v="79"/>
    <n v="22949"/>
    <s v="MATHEUS FERREIRA DA SILVA"/>
    <n v="24256"/>
    <s v="JOSE HENRIQUE DE LIMA DE SOUZA"/>
    <s v="TRIFASICO INDIRETO GD (3)"/>
    <s v="Sim"/>
    <x v="0"/>
    <s v="MATHEUS FERREIRA DA SILVA"/>
    <d v="2026-08-25T08:20:10"/>
    <s v="TIAGO DE FREITAS SANTOS"/>
    <d v="2026-08-25T08:40:06"/>
    <s v="Manha"/>
    <x v="1"/>
    <s v="Sim"/>
    <n v="19.899999999999999"/>
    <s v="Sim"/>
  </r>
  <r>
    <n v="51661"/>
    <s v="25-08-2026"/>
    <s v="Santo André"/>
    <s v="ABC Sul"/>
    <x v="80"/>
    <n v="19920"/>
    <s v="RODRIGO VITORIO MOTA ANDRADE"/>
    <n v="24212"/>
    <s v="LUIZ MARCELO DA HORA SILVA"/>
    <s v="RAMAL 10 MM TRIPLEX (NEUTRO DESENCAPADO) (50); FITA ISOLANTE (5); LACRE MARROM (100); DELTA SMART (36)"/>
    <s v="Sim"/>
    <x v="0"/>
    <s v="RODRIGO VITORIO MOTA ANDRADE"/>
    <d v="2026-08-25T08:17:52"/>
    <s v="TIAGO DE FREITAS SANTOS"/>
    <d v="2026-08-25T17:02:25"/>
    <s v="Manha"/>
    <x v="0"/>
    <m/>
    <n v="524.6"/>
    <s v="Nao"/>
  </r>
  <r>
    <n v="51654"/>
    <s v="25-08-2026"/>
    <s v="Santo André"/>
    <s v="Leste"/>
    <x v="81"/>
    <n v="23162"/>
    <s v="JEFFERSON DE ALMEIDA OLIVEIRA"/>
    <n v="22950"/>
    <s v="EDU DA SILVA"/>
    <s v="LACRE MARROM (1); RAMAL 10 MM TRIPLEX (NEUTRO DESENCAPADO) (100)"/>
    <s v="Sim"/>
    <x v="0"/>
    <s v="EDU DA SILVA"/>
    <d v="2026-08-25T08:06:28"/>
    <s v="PEDRO EUGENIO P DAMIÃO"/>
    <d v="2026-08-25T16:34:52"/>
    <s v="Manha"/>
    <x v="0"/>
    <m/>
    <n v="508.4"/>
    <s v="Nao"/>
  </r>
  <r>
    <n v="51651"/>
    <s v="25-08-2026"/>
    <s v="Santo André"/>
    <s v="ABC Sul"/>
    <x v="82"/>
    <n v="21847"/>
    <s v="ROSENILDO SILVA L DAMASCENO"/>
    <n v="25507"/>
    <s v="DANIEL DE OLIVEIRA SOARES"/>
    <s v="FITA ISOLANTE (2)"/>
    <s v="Não"/>
    <x v="0"/>
    <s v="DANIEL DE OLIVEIRA SOARES"/>
    <d v="2026-08-25T08:04:32"/>
    <s v="TIAGO DE FREITAS SANTOS"/>
    <d v="2026-08-25T17:24:37"/>
    <s v="Manha"/>
    <x v="0"/>
    <m/>
    <n v="560.1"/>
    <s v="Nao"/>
  </r>
  <r>
    <n v="51650"/>
    <s v="25-08-2026"/>
    <s v="Santo André"/>
    <s v="Leste"/>
    <x v="46"/>
    <n v="13459"/>
    <s v="EDER GUILHERME DA C. FERREIRA"/>
    <n v="14181"/>
    <s v="FRANCISCO ANTONIO DA SILVA"/>
    <s v="LACRE MARROM (100); TRIFASICO INDIRETO (1)"/>
    <s v="Sim"/>
    <x v="0"/>
    <s v="EDER GUILHERME DA C. FERREIRA"/>
    <d v="2026-08-25T08:02:19"/>
    <s v="TIAGO DE FREITAS SANTOS"/>
    <d v="2026-08-25T08:39:09"/>
    <s v="Manha"/>
    <x v="1"/>
    <s v="Sim"/>
    <n v="36.799999999999997"/>
    <s v="Sim"/>
  </r>
  <r>
    <n v="51645"/>
    <s v="25-08-2026"/>
    <s v="Santo André"/>
    <s v="Leste"/>
    <x v="23"/>
    <n v="14568"/>
    <s v="TIAGO SANTIAGO BENEDITO"/>
    <n v="16199"/>
    <s v="DICAEL SOUZA RIBEIRO"/>
    <s v="LACRE MARROM (100); RAMAL 10 MM TRIPLEX (NEUTRO DESENCAPADO) (50)"/>
    <s v="Sim"/>
    <x v="0"/>
    <s v="DICAEL SOUZA RIBEIRO"/>
    <d v="2026-08-25T07:54:44"/>
    <s v="PEDRO EUGENIO P DAMIÃO"/>
    <d v="2026-08-26T08:11:11"/>
    <s v="Manha"/>
    <x v="1"/>
    <m/>
    <n v="1456.5"/>
    <s v="Nao"/>
  </r>
  <r>
    <n v="51642"/>
    <s v="25-08-2026"/>
    <s v="Santo André"/>
    <s v="ABC Sul"/>
    <x v="83"/>
    <n v="19035"/>
    <s v="GABRIEL DE SOUSA R. DA SILVA"/>
    <n v="19052"/>
    <s v="MATHEUS BARRETO ALMEIDA"/>
    <s v="CENTRALIZADO DIRETO (NOVO) (18); TC 200 (6)"/>
    <s v="Sim"/>
    <x v="0"/>
    <s v="GABRIEL DE SOUSA R. DA SILVA"/>
    <d v="2026-08-25T07:52:34"/>
    <s v="TIAGO DE FREITAS SANTOS"/>
    <d v="2026-08-26T08:24:49"/>
    <s v="Manha"/>
    <x v="1"/>
    <m/>
    <n v="1472.2"/>
    <s v="Nao"/>
  </r>
  <r>
    <n v="51641"/>
    <s v="25-08-2026"/>
    <s v="Santo André"/>
    <s v="Leste"/>
    <x v="39"/>
    <n v="25505"/>
    <s v="ANDERSON CARDOSO TEIXEIRA"/>
    <n v="25522"/>
    <s v="WESLEY DOS SANTOS GARCIA"/>
    <s v="FITA ISOLANTE (2); RAMAL 10 MM (QUADRUPLEX) (50); RAMAL 10 MM TRIPLEX (NEUTRO DESENCAPADO) (50)"/>
    <s v="Sim"/>
    <x v="0"/>
    <s v="ANDERSON CARDOSO TEIXEIRA"/>
    <d v="2026-08-25T07:51:56"/>
    <s v="PEDRO EUGENIO P DAMIÃO"/>
    <d v="2026-08-26T09:45:59"/>
    <s v="Manha"/>
    <x v="1"/>
    <m/>
    <n v="1554"/>
    <s v="Nao"/>
  </r>
  <r>
    <n v="51634"/>
    <s v="25-08-2026"/>
    <s v="Santo André"/>
    <s v="Leste"/>
    <x v="32"/>
    <n v="812"/>
    <s v="GENILTON LIMA DE SOUZA"/>
    <n v="21002"/>
    <s v="SAMUEL MARCOS ALVES DA SILVA"/>
    <s v="DELTA SMART (24); FITA ISOLANTE (2); LACRE MARROM (100); CAIXA MD. UNIFICADA (18); CABO BICONCENTRICO NOVO (200)"/>
    <s v="Sim"/>
    <x v="0"/>
    <s v="GENILTON LIMA DE SOUZA"/>
    <d v="2026-08-25T07:36:39"/>
    <s v="TIAGO DE FREITAS SANTOS"/>
    <d v="2026-08-26T07:54:33"/>
    <s v="Manha"/>
    <x v="1"/>
    <m/>
    <n v="1457.9"/>
    <s v="Nao"/>
  </r>
  <r>
    <n v="51605"/>
    <s v="24-08-2026"/>
    <s v="Santo André"/>
    <m/>
    <x v="11"/>
    <n v="19060"/>
    <s v="GIVANILDO FAUSTINO DE OLIVEIRA"/>
    <n v="26039"/>
    <s v="RICARDO JUNIOR SILVA DA CRUZ"/>
    <s v="TRIFASICO INDIRETO (1); TRIFASICO INDIRETO GD (1); TC 200 (6)"/>
    <s v="Sim"/>
    <x v="0"/>
    <s v="ANDERSON ALEX R VIEIRA"/>
    <d v="2026-08-24T17:37:21"/>
    <s v="TIAGO DE FREITAS SANTOS"/>
    <d v="2026-08-25T07:42:40"/>
    <s v="Tarde"/>
    <x v="1"/>
    <m/>
    <n v="845.3"/>
    <s v="Nao"/>
  </r>
  <r>
    <n v="51591"/>
    <s v="24-08-2026"/>
    <s v="Santo André"/>
    <s v="Leste"/>
    <x v="84"/>
    <n v="17904"/>
    <s v="JOEL DE SOUZA BARBOSA"/>
    <n v="15240"/>
    <s v="ALEXSANDRO MOREIRA MACEDO"/>
    <s v="TRIFASICO INDIRETO (7); TC 200 (17)"/>
    <s v="Sim"/>
    <x v="0"/>
    <s v="JOEL DE SOUZA BARBOSA"/>
    <d v="2026-08-24T15:59:35"/>
    <s v="TIAGO DE FREITAS SANTOS"/>
    <d v="2026-08-24T16:51:32"/>
    <s v="Tarde"/>
    <x v="0"/>
    <m/>
    <n v="52"/>
    <s v="Nao"/>
  </r>
  <r>
    <n v="51587"/>
    <s v="24-08-2026"/>
    <s v="Santo André"/>
    <s v="Leste"/>
    <x v="85"/>
    <n v="18062"/>
    <s v="KAIO HENRIQUE VAZ T DA SILVA"/>
    <n v="19081"/>
    <s v="KEVIN ROCHA DE OLIVEIRA"/>
    <s v="DELTA SMART (30)"/>
    <s v="Sim"/>
    <x v="0"/>
    <s v="KEVIN ROCHA DE OLIVEIRA"/>
    <d v="2026-08-24T14:48:09"/>
    <s v="TIAGO DE FREITAS SANTOS"/>
    <d v="2026-08-24T16:37:36"/>
    <s v="Tarde"/>
    <x v="0"/>
    <m/>
    <n v="109.4"/>
    <s v="Nao"/>
  </r>
  <r>
    <n v="51585"/>
    <s v="24-08-2026"/>
    <s v="Santo André"/>
    <s v="ABC Sul"/>
    <x v="86"/>
    <n v="24229"/>
    <s v="DOUGLAS DE SOUZA ALBUQUERQUE"/>
    <n v="23367"/>
    <s v="VINICIUS SILVA SA"/>
    <s v="RAMAL 10 MM TRIPLEX (NEUTRO DESENCAPADO) (100); LACRE MARROM (100); PARAFUSO GRANDE (50)"/>
    <s v="Sim"/>
    <x v="0"/>
    <s v="DOUGLAS DE SOUZA ALBUQUERQUE"/>
    <d v="2026-08-24T14:41:16"/>
    <s v="TIAGO DE FREITAS SANTOS"/>
    <d v="2026-08-24T16:30:51"/>
    <s v="Tarde"/>
    <x v="0"/>
    <m/>
    <n v="109.6"/>
    <s v="Nao"/>
  </r>
  <r>
    <n v="51582"/>
    <s v="24-08-2026"/>
    <s v="Santo André"/>
    <s v="ABC Sul"/>
    <x v="87"/>
    <n v="20827"/>
    <s v="CAIO ANTONIO TEOFILO"/>
    <n v="25508"/>
    <s v="DAVI CARDOSO CESAR"/>
    <s v="RAMAL 10 MM TRIPLEX (NEUTRO DESENCAPADO) (50)"/>
    <s v="Sim"/>
    <x v="0"/>
    <s v="CAIO ANTONIO TEOFILO"/>
    <d v="2026-08-24T14:25:30"/>
    <s v="TIAGO DE FREITAS SANTOS"/>
    <d v="2026-08-25T07:58:28"/>
    <s v="Tarde"/>
    <x v="1"/>
    <m/>
    <n v="1053"/>
    <s v="Nao"/>
  </r>
  <r>
    <n v="51579"/>
    <s v="24-08-2026"/>
    <s v="Santo André"/>
    <s v="Leste"/>
    <x v="2"/>
    <n v="13461"/>
    <s v="JOSEILDO DOS SANTOS LEITE"/>
    <n v="25767"/>
    <s v="VICENTE JOSE DA SILVA CORREIA"/>
    <s v="LACRE MARROM (100)"/>
    <s v="Sim"/>
    <x v="0"/>
    <s v="JOSEILDO DOS SANTOS LEITE"/>
    <d v="2026-08-24T14:11:40"/>
    <s v="TIAGO DE FREITAS SANTOS"/>
    <d v="2026-08-24T16:43:37"/>
    <s v="Tarde"/>
    <x v="0"/>
    <m/>
    <n v="152"/>
    <s v="Nao"/>
  </r>
  <r>
    <n v="51567"/>
    <s v="24-08-2026"/>
    <s v="Santo André"/>
    <s v="Leste"/>
    <x v="50"/>
    <n v="13460"/>
    <s v="ELTON JOHN SILVA SANTOS"/>
    <n v="22716"/>
    <s v="CAIQUE ALVES PEREIRA"/>
    <s v="RAMAL 10 MM TRIPLEX (NEUTRO DESENCAPADO) (50)"/>
    <s v="Sim"/>
    <x v="0"/>
    <s v="ELTON JOHN SILVA SANTOS"/>
    <d v="2026-08-24T13:48:18"/>
    <s v="TIAGO DE FREITAS SANTOS"/>
    <d v="2026-08-24T17:23:59"/>
    <s v="Tarde"/>
    <x v="0"/>
    <m/>
    <n v="215.7"/>
    <s v="Nao"/>
  </r>
  <r>
    <n v="51566"/>
    <s v="24-08-2026"/>
    <s v="Santo André"/>
    <s v="Leste"/>
    <x v="64"/>
    <n v="23149"/>
    <s v="ALEX HENRIQUE ODILON DA SILVA"/>
    <n v="20997"/>
    <s v="CARLITO JACINTO MOREIRA JUNIOR"/>
    <s v="RAMAL 10 MM (QUADRUPLEX) (100); PARAFUSO MÉDIO (50); PARAFUSO PEQUENO (50); DELTA SMART (12)"/>
    <s v="Sim"/>
    <x v="0"/>
    <s v="CARLITO JACINTO MOREIRA JUNIOR"/>
    <d v="2026-08-24T13:47:28"/>
    <s v="TIAGO DE FREITAS SANTOS"/>
    <d v="2026-08-24T16:41:43"/>
    <s v="Tarde"/>
    <x v="0"/>
    <m/>
    <n v="174.3"/>
    <s v="Nao"/>
  </r>
  <r>
    <n v="51560"/>
    <s v="24-08-2026"/>
    <s v="Santo André"/>
    <s v="Leste"/>
    <x v="18"/>
    <n v="23930"/>
    <s v="FABIO BATISTA RODRIGUES"/>
    <n v="15602"/>
    <s v="THIAGO CAMPOS GONCALVES"/>
    <s v="DELTA SMART (24); RAMAL 10 MM TRIPLEX (NEUTRO DESENCAPADO) (50)"/>
    <s v="Sim"/>
    <x v="0"/>
    <s v="CARLOS ALBERTO DOMENES JUNIOR"/>
    <d v="2026-08-24T13:28:14"/>
    <s v="TIAGO DE FREITAS SANTOS"/>
    <d v="2026-08-24T16:48:22"/>
    <s v="Tarde"/>
    <x v="0"/>
    <m/>
    <n v="200.1"/>
    <s v="Nao"/>
  </r>
  <r>
    <n v="51559"/>
    <s v="24-08-2026"/>
    <s v="Santo André"/>
    <s v="ABC Sul"/>
    <x v="11"/>
    <n v="19060"/>
    <s v="GIVANILDO FAUSTINO DE OLIVEIRA"/>
    <n v="26039"/>
    <s v="RICARDO JUNIOR SILVA DA CRUZ"/>
    <s v="DELTA SMART (12)"/>
    <s v="Sim"/>
    <x v="0"/>
    <s v="GIVANILDO FAUSTINO DE OLIVEIRA"/>
    <d v="2026-08-24T13:27:27"/>
    <s v="TIAGO DE FREITAS SANTOS"/>
    <d v="2026-08-25T07:41:11"/>
    <s v="Tarde"/>
    <x v="1"/>
    <m/>
    <n v="1093.7"/>
    <s v="Nao"/>
  </r>
  <r>
    <n v="51557"/>
    <s v="24-08-2026"/>
    <s v="Santo André"/>
    <s v="ABC Sul"/>
    <x v="51"/>
    <n v="17844"/>
    <s v="ITALLO VINNICIUS DE SOUSA LIMA"/>
    <n v="20033"/>
    <s v="JAILSON DOUGLAS FERREIRA GOMES"/>
    <s v="LACRE MARROM (100); PARAFUSO MÉDIO (100); DELTA SMART (24); ESTRELA FORÇA (6)"/>
    <s v="Sim"/>
    <x v="0"/>
    <s v="JAILSON DOUGLAS FERREIRA GOMES"/>
    <d v="2026-08-24T13:25:49"/>
    <s v="TIAGO DE FREITAS SANTOS"/>
    <d v="2026-08-24T16:18:52"/>
    <s v="Tarde"/>
    <x v="0"/>
    <m/>
    <n v="173"/>
    <s v="Nao"/>
  </r>
  <r>
    <n v="51552"/>
    <s v="24-08-2026"/>
    <s v="Santo André"/>
    <s v="Leste"/>
    <x v="28"/>
    <n v="9757"/>
    <s v="DIOGO LUCIANO DOS SANTOS"/>
    <n v="6652"/>
    <s v="WELLINGSON FERNANDES SILVA"/>
    <s v="DELTA SMART (12); LACRE MARROM (50)"/>
    <s v="Sim"/>
    <x v="0"/>
    <s v="DIOGO LUCIANO DOS SANTOS"/>
    <d v="2026-08-24T13:19:07"/>
    <s v="TIAGO DE FREITAS SANTOS"/>
    <d v="2026-08-24T16:04:15"/>
    <s v="Tarde"/>
    <x v="0"/>
    <m/>
    <n v="165.1"/>
    <s v="Nao"/>
  </r>
  <r>
    <n v="51550"/>
    <s v="24-08-2026"/>
    <s v="Santo André"/>
    <s v="Leste"/>
    <x v="6"/>
    <n v="19073"/>
    <s v="DANIEL DE JESUS VIEIRA MATOS"/>
    <n v="24778"/>
    <s v="JOAO MARCOS FREITAS SANTANA"/>
    <s v="ESTRELA FORÇA (12); DELTA SMART (12)"/>
    <s v="Sim"/>
    <x v="0"/>
    <s v="JOAO MARCOS FREITAS SANTANA"/>
    <d v="2026-08-24T13:17:14"/>
    <s v="TIAGO DE FREITAS SANTOS"/>
    <d v="2026-08-24T17:23:06"/>
    <s v="Tarde"/>
    <x v="0"/>
    <m/>
    <n v="245.9"/>
    <s v="Nao"/>
  </r>
  <r>
    <n v="51542"/>
    <s v="24-08-2026"/>
    <s v="Santo André"/>
    <s v="Leste"/>
    <x v="1"/>
    <n v="17449"/>
    <s v="SAMUEL MARTINS PORTO COSTA"/>
    <n v="25859"/>
    <s v="PEDRO H ALENCAR SILVA SANTOS"/>
    <s v="LACRE MARROM (100); DELTA SMART (18)"/>
    <s v="Sim"/>
    <x v="0"/>
    <s v="PEDRO H ALENCAR SILVA SANTOS"/>
    <d v="2026-08-24T12:55:43"/>
    <s v="ANDERSON ALEX R VIEIRA"/>
    <d v="2026-08-26T17:11:18"/>
    <s v="Tarde"/>
    <x v="0"/>
    <m/>
    <n v="3135.6"/>
    <s v="Nao"/>
  </r>
  <r>
    <n v="51535"/>
    <s v="24-08-2026"/>
    <s v="Santo André"/>
    <s v="Leste"/>
    <x v="48"/>
    <n v="21635"/>
    <s v="VITOR DUARTE LIMA"/>
    <n v="24907"/>
    <s v="DENIS LOPES DOS SANTOS"/>
    <s v="CABO 25 MM  (QUADRUPLEX) (30); OUTROS (100); CENTRALIZADO DIRETO (50); RAMAL 10 MM TRIPLEX (NEUTRO DESENCAPADO) (100)"/>
    <s v="Sim"/>
    <x v="0"/>
    <s v="VITOR DUARTE LIMA"/>
    <d v="2026-08-24T12:35:43"/>
    <s v="TIAGO DE FREITAS SANTOS"/>
    <d v="2026-08-24T15:35:25"/>
    <s v="Tarde"/>
    <x v="0"/>
    <m/>
    <n v="179.7"/>
    <s v="Nao"/>
  </r>
  <r>
    <n v="51533"/>
    <s v="24-08-2026"/>
    <s v="Santo André"/>
    <s v="Leste"/>
    <x v="15"/>
    <n v="17569"/>
    <s v="IGOR MACEDO LOPES DA SILVA"/>
    <n v="13733"/>
    <s v="OSVALDO APARECIDO GOMES"/>
    <s v="RAMAL 10 MM TRIPLEX (NEUTRO DESENCAPADO) (50); PIERCING TP3 (25); PIERCING GRANDE (25); LACRE MARROM (50)"/>
    <s v="Sim"/>
    <x v="0"/>
    <s v="IGOR MACEDO LOPES DA SILVA"/>
    <d v="2026-08-24T12:34:18"/>
    <s v="ANDERSON ALEX R VIEIRA"/>
    <d v="2026-08-24T15:54:21"/>
    <s v="Tarde"/>
    <x v="0"/>
    <m/>
    <n v="200"/>
    <s v="Nao"/>
  </r>
  <r>
    <n v="51532"/>
    <s v="24-08-2026"/>
    <s v="Santo André"/>
    <s v="Leste"/>
    <x v="88"/>
    <n v="25187"/>
    <s v="THIAGO RAMADAN BARROS"/>
    <n v="25520"/>
    <s v="RAFAEL DI PIETRO MARTINATI"/>
    <s v="LACRE MARROM (100); DELTA SMART (12)"/>
    <s v="Sim"/>
    <x v="0"/>
    <s v="THIAGO RAMADAN BARROS"/>
    <d v="2026-08-24T12:33:59"/>
    <s v="TIAGO DE FREITAS SANTOS"/>
    <d v="2026-08-25T08:05:08"/>
    <s v="Tarde"/>
    <x v="1"/>
    <m/>
    <n v="1171.0999999999999"/>
    <s v="Nao"/>
  </r>
  <r>
    <n v="51517"/>
    <s v="24-08-2026"/>
    <s v="Santo André"/>
    <s v="Leste"/>
    <x v="89"/>
    <n v="1922"/>
    <s v="CLAUDIO FERNANDO NUNES BAPTIST"/>
    <n v="25763"/>
    <s v="EDMILSON ALVES DOS SANTOS"/>
    <s v="CENTRALIZADO DIRETO (64); LACRE MARROM (100)"/>
    <s v="Sim"/>
    <x v="0"/>
    <s v="CLAUDIO FERNANDO NUNES BAPTIST"/>
    <d v="2026-08-24T11:52:26"/>
    <s v="TIAGO DE FREITAS SANTOS"/>
    <d v="2026-08-24T17:21:56"/>
    <s v="Manha"/>
    <x v="0"/>
    <m/>
    <n v="329.5"/>
    <s v="Nao"/>
  </r>
  <r>
    <n v="51501"/>
    <s v="24-08-2026"/>
    <s v="Santo André"/>
    <s v="Leste"/>
    <x v="90"/>
    <n v="23359"/>
    <s v="JOYCE DA SILVA"/>
    <n v="24255"/>
    <s v="WESLEI DA SILVA GOMES"/>
    <s v="DELTA SMART (18); RAMAL 10 MM TRIPLEX (NEUTRO DESENCAPADO) (50)"/>
    <s v="Sim"/>
    <x v="0"/>
    <s v="JOYCE DA SILVA"/>
    <d v="2026-08-24T11:09:00"/>
    <s v="TIAGO DE FREITAS SANTOS"/>
    <d v="2026-08-24T16:33:28"/>
    <s v="Manha"/>
    <x v="0"/>
    <m/>
    <n v="324.5"/>
    <s v="Nao"/>
  </r>
  <r>
    <n v="51499"/>
    <s v="24-08-2026"/>
    <s v="Santo André"/>
    <s v="ABC Sul"/>
    <x v="91"/>
    <n v="21356"/>
    <s v="CARLOS HENRIQUE SILVA DE SOUZA"/>
    <n v="23869"/>
    <s v="WALMIR CORREIA SANTOS"/>
    <s v="DELTA SMART (12)"/>
    <s v="Sim"/>
    <x v="0"/>
    <s v="CARLOS HENRIQUE SILVA DE SOUZA"/>
    <d v="2026-08-24T10:59:51"/>
    <s v="TIAGO DE FREITAS SANTOS"/>
    <d v="2026-08-24T16:49:53"/>
    <s v="Manha"/>
    <x v="0"/>
    <m/>
    <n v="350"/>
    <s v="Nao"/>
  </r>
  <r>
    <n v="51478"/>
    <s v="24-08-2026"/>
    <s v="Santo André"/>
    <s v="Leste"/>
    <x v="92"/>
    <n v="18437"/>
    <s v="ALAN NUNES DE OLIVEIRA"/>
    <n v="19486"/>
    <s v="BRENO CARVALHO DO NASCIMENTO"/>
    <s v="RAMAL 10 MM TRIPLEX (NEUTRO DESENCAPADO) (50)"/>
    <s v="Sim"/>
    <x v="0"/>
    <s v="BRENO CARVALHO DO NASCIMENTO"/>
    <d v="2026-08-24T09:41:10"/>
    <s v="TIAGO DE FREITAS SANTOS"/>
    <d v="2026-08-24T16:56:47"/>
    <s v="Manha"/>
    <x v="0"/>
    <m/>
    <n v="435.6"/>
    <s v="Nao"/>
  </r>
  <r>
    <n v="51475"/>
    <s v="24-08-2026"/>
    <s v="Santo André"/>
    <s v="Leste"/>
    <x v="56"/>
    <n v="13231"/>
    <s v="ANTONIO GERSON SENA DE JESUS"/>
    <n v="20964"/>
    <s v="FELIPE GOMES DOS SANTOS"/>
    <s v="DELTA SMART (30); CAIXA MD. UNIFICADA (10)"/>
    <s v="Sim"/>
    <x v="0"/>
    <s v="ANTONIO GERSON SENA DE JESUS"/>
    <d v="2026-08-24T09:38:22"/>
    <s v="TIAGO DE FREITAS SANTOS"/>
    <d v="2026-08-24T16:39:18"/>
    <s v="Manha"/>
    <x v="0"/>
    <m/>
    <n v="420.9"/>
    <s v="Nao"/>
  </r>
  <r>
    <n v="51464"/>
    <s v="24-08-2026"/>
    <s v="Santo André"/>
    <s v="Leste"/>
    <x v="49"/>
    <n v="21352"/>
    <s v="JUSSIENE PEREIRA BORGES"/>
    <n v="22749"/>
    <s v="VICTOR NUNES BUENO"/>
    <s v="DELTA SMART (12); LACRE MARROM (100); RAMAL 10 MM TRIPLEX (NEUTRO DESENCAPADO) (50)"/>
    <s v="Sim"/>
    <x v="0"/>
    <s v="VICTOR NUNES BUENO"/>
    <d v="2026-08-24T09:16:09"/>
    <s v="TIAGO DE FREITAS SANTOS"/>
    <d v="2026-08-24T17:43:25"/>
    <s v="Manha"/>
    <x v="0"/>
    <m/>
    <n v="507.3"/>
    <s v="Nao"/>
  </r>
  <r>
    <n v="51463"/>
    <s v="24-08-2026"/>
    <s v="Santo André"/>
    <s v="Leste"/>
    <x v="14"/>
    <n v="23492"/>
    <s v="VANDO BESERRA PEREIRA"/>
    <n v="18442"/>
    <s v="WARLLEY MARTINS DE SOUZA"/>
    <s v="RAMAL 10 MM (QUADRUPLEX) (100); RAMAL 10 MM TRIPLEX (NEUTRO DESENCAPADO) (50); LACRE MARROM (100)"/>
    <s v="Sim"/>
    <x v="0"/>
    <s v="VANDO BESERRA PEREIRA"/>
    <d v="2026-08-24T09:15:17"/>
    <s v="TIAGO DE FREITAS SANTOS"/>
    <d v="2026-08-24T16:50:48"/>
    <s v="Manha"/>
    <x v="0"/>
    <m/>
    <n v="455.5"/>
    <s v="Nao"/>
  </r>
  <r>
    <n v="51455"/>
    <s v="24-08-2026"/>
    <s v="Santo André"/>
    <s v="Leste"/>
    <x v="2"/>
    <n v="13461"/>
    <s v="JOSEILDO DOS SANTOS LEITE"/>
    <n v="25767"/>
    <s v="VICENTE JOSE DA SILVA CORREIA"/>
    <s v="ESTRELA FORÇA (12); DELTA SMART (24); RAMAL 10 MM TRIPLEX (NEUTRO DESENCAPADO) (50)"/>
    <s v="Sim"/>
    <x v="0"/>
    <s v="JOSEILDO DOS SANTOS LEITE"/>
    <d v="2026-08-24T08:40:53"/>
    <s v="TIAGO DE FREITAS SANTOS"/>
    <d v="2026-08-24T10:43:58"/>
    <s v="Manha"/>
    <x v="1"/>
    <s v="Sim"/>
    <n v="123.1"/>
    <s v="Nao"/>
  </r>
  <r>
    <n v="51446"/>
    <s v="24-08-2026"/>
    <s v="Santo André"/>
    <s v="Leste"/>
    <x v="4"/>
    <n v="22724"/>
    <s v="FELIPE WILSON GRIMALDI"/>
    <n v="22990"/>
    <s v="HENRIQUE MENEZES C DE OLIVEIRA"/>
    <s v="CABO 25 MM (TRIPLEX) (30)"/>
    <s v="Sim"/>
    <x v="0"/>
    <s v="FELIPE WILSON GRIMALDI"/>
    <d v="2026-08-24T08:15:56"/>
    <s v="ANDERSON ALEX R VIEIRA"/>
    <d v="2026-08-24T10:23:34"/>
    <s v="Manha"/>
    <x v="1"/>
    <s v="Sim"/>
    <n v="127.6"/>
    <s v="Nao"/>
  </r>
  <r>
    <n v="51442"/>
    <s v="24-08-2026"/>
    <s v="Santo André"/>
    <s v="Leste"/>
    <x v="22"/>
    <n v="6763"/>
    <s v="JEFFERSON LUIZ ANDRADE DA S."/>
    <n v="13042"/>
    <s v="GILMAR DE OLIVEIRA"/>
    <s v="DELTA SMART (30); CABO 25 MM (TRIPLEX) (30); RAMAL 10 MM TRIPLEX (NEUTRO DESENCAPADO) (50)"/>
    <s v="Sim"/>
    <x v="0"/>
    <s v="JEFFERSON LUIZ ANDRADE DA S."/>
    <d v="2026-08-24T08:13:09"/>
    <s v="TIAGO DE FREITAS SANTOS"/>
    <d v="2026-08-24T08:52:08"/>
    <s v="Manha"/>
    <x v="1"/>
    <s v="Sim"/>
    <n v="39"/>
    <s v="Sim"/>
  </r>
  <r>
    <n v="51437"/>
    <s v="24-08-2026"/>
    <s v="Santo André"/>
    <s v="Sul"/>
    <x v="55"/>
    <n v="18608"/>
    <s v="GABRIEL AZEREDO DE ALMEIDA"/>
    <n v="23352"/>
    <s v="GUILHERME FERNANDES DE LIMA"/>
    <s v="DELTA SMART (18)"/>
    <s v="Sim"/>
    <x v="0"/>
    <s v="GABRIEL AZEREDO DE ALMEIDA"/>
    <d v="2026-08-24T08:03:09"/>
    <s v="TIAGO DE FREITAS SANTOS"/>
    <d v="2026-08-24T16:58:59"/>
    <s v="Manha"/>
    <x v="0"/>
    <m/>
    <n v="535.79999999999995"/>
    <s v="Nao"/>
  </r>
  <r>
    <n v="51433"/>
    <s v="24-08-2026"/>
    <s v="Santo André"/>
    <s v="ABC Sul"/>
    <x v="93"/>
    <n v="12445"/>
    <s v="DIEGO FERREIRA VILAS BOAS"/>
    <n v="10613"/>
    <s v="MARCO AURELIO DE O. BENTO"/>
    <s v="RAMAL 10 MM (QUADRUPLEX) (100); RAMAL 10 MM TRIPLEX (NEUTRO DESENCAPADO) (50); LACRE MARROM (100)"/>
    <s v="Sim"/>
    <x v="0"/>
    <s v="DIEGO FERREIRA VILAS BOAS"/>
    <d v="2026-08-24T07:58:40"/>
    <s v="TIAGO DE FREITAS SANTOS"/>
    <d v="2026-08-24T17:12:57"/>
    <s v="Manha"/>
    <x v="0"/>
    <m/>
    <n v="554.29999999999995"/>
    <s v="Nao"/>
  </r>
  <r>
    <n v="51427"/>
    <s v="24-08-2026"/>
    <s v="Santo André"/>
    <s v="Leste"/>
    <x v="38"/>
    <n v="21359"/>
    <s v="RODRIGO CLAUDINO DE ARAUJO"/>
    <n v="25518"/>
    <s v="MARCOS ANTONIO DIAS GONCALVES"/>
    <s v="LACRE MARROM (100); RAMAL 10 MM TRIPLEX (NEUTRO DESENCAPADO) (50)"/>
    <s v="Sim"/>
    <x v="0"/>
    <s v="RODRIGO CLAUDINO DE ARAUJO"/>
    <d v="2026-08-24T07:46:18"/>
    <s v="PEDRO EUGENIO P DAMIÃO"/>
    <d v="2026-08-26T11:28:48"/>
    <s v="Manha"/>
    <x v="1"/>
    <m/>
    <n v="3102.5"/>
    <s v="Na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F88AF5-8C74-42EE-80C1-8C8CEFA62D68}" name="ptFinalizadasPeriodo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5:D101" firstHeaderRow="1" firstDataRow="2" firstDataCol="1" rowPageCount="1" colPageCount="1"/>
  <pivotFields count="21"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44">
        <item m="1" x="141"/>
        <item m="1" x="134"/>
        <item m="1" x="124"/>
        <item m="1" x="133"/>
        <item m="1" x="94"/>
        <item m="1" x="118"/>
        <item m="1" x="138"/>
        <item m="1" x="119"/>
        <item m="1" x="126"/>
        <item x="66"/>
        <item x="51"/>
        <item m="1" x="111"/>
        <item x="55"/>
        <item x="93"/>
        <item m="1" x="98"/>
        <item m="1" x="142"/>
        <item m="1" x="97"/>
        <item x="11"/>
        <item m="1" x="139"/>
        <item x="43"/>
        <item m="1" x="135"/>
        <item m="1" x="112"/>
        <item m="1" x="102"/>
        <item x="54"/>
        <item m="1" x="128"/>
        <item m="1" x="101"/>
        <item x="73"/>
        <item x="91"/>
        <item x="17"/>
        <item m="1" x="100"/>
        <item x="87"/>
        <item m="1" x="122"/>
        <item x="82"/>
        <item x="16"/>
        <item m="1" x="105"/>
        <item x="72"/>
        <item m="1" x="104"/>
        <item m="1" x="123"/>
        <item m="1" x="106"/>
        <item m="1" x="116"/>
        <item m="1" x="113"/>
        <item m="1" x="130"/>
        <item x="41"/>
        <item x="37"/>
        <item m="1" x="136"/>
        <item x="30"/>
        <item m="1" x="137"/>
        <item x="22"/>
        <item x="19"/>
        <item x="1"/>
        <item x="28"/>
        <item x="15"/>
        <item m="1" x="132"/>
        <item x="6"/>
        <item x="85"/>
        <item x="75"/>
        <item x="48"/>
        <item m="1" x="121"/>
        <item x="39"/>
        <item x="46"/>
        <item x="64"/>
        <item x="2"/>
        <item x="78"/>
        <item x="4"/>
        <item x="79"/>
        <item x="25"/>
        <item x="26"/>
        <item x="18"/>
        <item m="1" x="129"/>
        <item x="42"/>
        <item x="14"/>
        <item m="1" x="140"/>
        <item x="50"/>
        <item x="49"/>
        <item x="29"/>
        <item x="81"/>
        <item x="92"/>
        <item x="88"/>
        <item m="1" x="131"/>
        <item m="1" x="115"/>
        <item x="65"/>
        <item m="1" x="99"/>
        <item m="1" x="103"/>
        <item m="1" x="117"/>
        <item x="61"/>
        <item m="1" x="125"/>
        <item x="33"/>
        <item x="21"/>
        <item m="1" x="110"/>
        <item m="1" x="127"/>
        <item x="80"/>
        <item x="20"/>
        <item x="24"/>
        <item m="1" x="120"/>
        <item m="1" x="95"/>
        <item m="1" x="96"/>
        <item x="90"/>
        <item x="31"/>
        <item x="0"/>
        <item x="84"/>
        <item x="86"/>
        <item x="27"/>
        <item x="56"/>
        <item x="34"/>
        <item m="1" x="107"/>
        <item m="1" x="108"/>
        <item m="1" x="109"/>
        <item x="5"/>
        <item x="89"/>
        <item m="1" x="114"/>
        <item x="38"/>
        <item x="32"/>
        <item x="3"/>
        <item x="7"/>
        <item x="8"/>
        <item x="9"/>
        <item x="10"/>
        <item x="12"/>
        <item x="13"/>
        <item x="23"/>
        <item x="35"/>
        <item x="36"/>
        <item x="40"/>
        <item x="44"/>
        <item x="45"/>
        <item x="47"/>
        <item x="52"/>
        <item x="53"/>
        <item x="57"/>
        <item x="58"/>
        <item x="59"/>
        <item x="60"/>
        <item x="62"/>
        <item x="63"/>
        <item x="67"/>
        <item x="68"/>
        <item x="69"/>
        <item x="70"/>
        <item x="71"/>
        <item x="74"/>
        <item x="76"/>
        <item x="77"/>
        <item x="8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3">
        <item m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4">
        <item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</pivotFields>
  <rowFields count="1">
    <field x="4"/>
  </rowFields>
  <rowItems count="95">
    <i>
      <x v="9"/>
    </i>
    <i>
      <x v="10"/>
    </i>
    <i>
      <x v="12"/>
    </i>
    <i>
      <x v="13"/>
    </i>
    <i>
      <x v="17"/>
    </i>
    <i>
      <x v="19"/>
    </i>
    <i>
      <x v="23"/>
    </i>
    <i>
      <x v="26"/>
    </i>
    <i>
      <x v="27"/>
    </i>
    <i>
      <x v="28"/>
    </i>
    <i>
      <x v="30"/>
    </i>
    <i>
      <x v="32"/>
    </i>
    <i>
      <x v="33"/>
    </i>
    <i>
      <x v="35"/>
    </i>
    <i>
      <x v="42"/>
    </i>
    <i>
      <x v="43"/>
    </i>
    <i>
      <x v="45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9"/>
    </i>
    <i>
      <x v="70"/>
    </i>
    <i>
      <x v="72"/>
    </i>
    <i>
      <x v="73"/>
    </i>
    <i>
      <x v="74"/>
    </i>
    <i>
      <x v="75"/>
    </i>
    <i>
      <x v="76"/>
    </i>
    <i>
      <x v="77"/>
    </i>
    <i>
      <x v="80"/>
    </i>
    <i>
      <x v="84"/>
    </i>
    <i>
      <x v="86"/>
    </i>
    <i>
      <x v="87"/>
    </i>
    <i>
      <x v="90"/>
    </i>
    <i>
      <x v="91"/>
    </i>
    <i>
      <x v="92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7"/>
    </i>
    <i>
      <x v="108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 t="grand">
      <x/>
    </i>
  </rowItems>
  <colFields count="1">
    <field x="17"/>
  </colFields>
  <colItems count="3">
    <i>
      <x/>
    </i>
    <i>
      <x v="2"/>
    </i>
    <i t="grand">
      <x/>
    </i>
  </colItems>
  <pageFields count="1">
    <pageField fld="11" item="1" hier="-1"/>
  </pageFields>
  <dataFields count="1">
    <dataField name="Total de Fichas" fld="0" subtotal="count" baseField="0" baseItem="0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0074DD-60C2-4327-B8C3-C9B285BD0935}" name="tbDadosBrutos" displayName="tbDadosBrutos" ref="A1:T683" totalsRowShown="0">
  <autoFilter ref="A1:T683" xr:uid="{9B0074DD-60C2-4327-B8C3-C9B285BD0935}"/>
  <tableColumns count="20">
    <tableColumn id="1" xr3:uid="{4824538B-15E0-4BAC-BA96-9FE093532229}" name="Ficha"/>
    <tableColumn id="2" xr3:uid="{64E14F6A-C990-40B7-8232-CB9F85651092}" name="Base"/>
    <tableColumn id="3" xr3:uid="{1E8D15BF-377D-4457-A497-DBF0EDE95FF3}" name="Area"/>
    <tableColumn id="4" xr3:uid="{21F26192-CB0C-448B-80CD-4A0A72AC8A32}" name="Data"/>
    <tableColumn id="5" xr3:uid="{B1FB778C-ABE1-4020-8B78-0BC21EB9E2B5}" name="Recurso"/>
    <tableColumn id="6" xr3:uid="{57A9508E-A8F7-4FBD-9DB8-D49039008E93}" name="RE 1"/>
    <tableColumn id="7" xr3:uid="{DCFC0BAB-E236-444E-B3BA-5EF873A3A60B}" name="Nome 1"/>
    <tableColumn id="8" xr3:uid="{CA4ADDA6-CFB8-4E88-ADFB-DD0EAA3A0AF6}" name="RE 2"/>
    <tableColumn id="9" xr3:uid="{7E27AFED-48FF-4280-A592-AC9AF0B13208}" name="Nome 2"/>
    <tableColumn id="10" xr3:uid="{FA37A801-D4BD-4E2B-82E2-736B814BD639}" name="Equipamento"/>
    <tableColumn id="11" xr3:uid="{6EADC99D-5C66-4EB0-9A0F-B3EBB4769908}" name="Pedido"/>
    <tableColumn id="12" xr3:uid="{D62064F6-8F0A-47C9-BA5D-10C3693F19CD}" name="Fornecido"/>
    <tableColumn id="13" xr3:uid="{21C72F6D-CE3F-46DA-B818-48E1FAB79458}" name="Devolucao"/>
    <tableColumn id="14" xr3:uid="{CCF73DF2-532F-48D8-8D77-D440E8178513}" name="OBS"/>
    <tableColumn id="15" xr3:uid="{2E8BF563-759B-4BDD-8DAB-83E842D29BB3}" name="Baixa Sistema"/>
    <tableColumn id="16" xr3:uid="{5839E043-18E0-4548-9D12-B1EB0E6EBDC8}" name="Finalizado"/>
    <tableColumn id="17" xr3:uid="{212C3A40-94A8-4D66-9B19-C4D4770AEFAD}" name="criado Por"/>
    <tableColumn id="18" xr3:uid="{805B4525-8338-4D8D-B554-44A805873D4A}" name="criado Data Hora"/>
    <tableColumn id="19" xr3:uid="{36C37D4A-6B70-4431-B7CD-484BFD976612}" name="alterado Por"/>
    <tableColumn id="20" xr3:uid="{58005E05-AD95-4E70-B52E-BDCC1513B4C4}" name="alterado Data Hor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7AE8CF-1307-495B-A242-55E115B1893F}" name="tbBaseDetalhada" displayName="tbBaseDetalhada" ref="A1:U160" totalsRowShown="0" headerRowDxfId="4" tableBorderDxfId="3">
  <autoFilter ref="A1:U160" xr:uid="{4E7AE8CF-1307-495B-A242-55E115B1893F}"/>
  <tableColumns count="21">
    <tableColumn id="1" xr3:uid="{B6BB5EBE-0E5A-4EA1-9B1D-6477F9CF2394}" name="Ficha"/>
    <tableColumn id="2" xr3:uid="{D98B3FE2-8D54-4BEE-85F7-FC232BAACA1A}" name="Data"/>
    <tableColumn id="3" xr3:uid="{1EDBE046-7E00-41B5-BF0F-E6D1B5F26A7C}" name="Base"/>
    <tableColumn id="4" xr3:uid="{D462FEDF-4D4B-4298-89A4-7697433ECEA5}" name="Area"/>
    <tableColumn id="5" xr3:uid="{9C8BE650-7C04-40F8-BD63-E4EEF73E4EA8}" name="Recurso"/>
    <tableColumn id="6" xr3:uid="{A8600D1B-C94A-404D-AD31-12131061D31B}" name="RE 1"/>
    <tableColumn id="7" xr3:uid="{78A83FCE-6ADD-4421-AFB8-66477684E06E}" name="Nome 1"/>
    <tableColumn id="8" xr3:uid="{D8F7313A-5AEB-41BC-B9A8-143107CFDC5D}" name="RE 2"/>
    <tableColumn id="9" xr3:uid="{24BE92C6-FC1A-402C-B120-D19564510B54}" name="Nome 2"/>
    <tableColumn id="10" xr3:uid="{8F619576-F9B1-4870-B234-A926D2BDACD9}" name="Equipamentos"/>
    <tableColumn id="11" xr3:uid="{82417499-4F1E-4527-B068-6D75B0FF612D}" name="Baixa Sistema"/>
    <tableColumn id="12" xr3:uid="{018D0D7E-83D7-4B66-BBA7-BCADBBE60D95}" name="Finalizado"/>
    <tableColumn id="13" xr3:uid="{4758936E-2897-4A79-B097-20D17EF3F4CD}" name="Criado Por"/>
    <tableColumn id="14" xr3:uid="{49A389C2-0342-47B6-B803-D45AFFA697F5}" name="Criado Data Hora" dataDxfId="2"/>
    <tableColumn id="15" xr3:uid="{D243B6C7-8670-4683-AD37-DCF42758E10B}" name="Alterado Por"/>
    <tableColumn id="16" xr3:uid="{AC9C9DE3-DC5A-42DD-A7E5-FBAC9DDD15C3}" name="Alterado Data Hora" dataDxfId="1"/>
    <tableColumn id="17" xr3:uid="{675BA637-0A56-4C5A-BE5D-1FF77F262051}" name="Periodo Criacao"/>
    <tableColumn id="18" xr3:uid="{68682E34-293A-414C-951A-21756243259C}" name="Periodo Finalizacao"/>
    <tableColumn id="19" xr3:uid="{0449E068-E172-40AD-9A9D-85BA8999DB46}" name="Mesma Manha"/>
    <tableColumn id="20" xr3:uid="{0B291EE0-F745-441F-A63F-5FE09742E1FC}" name="Intervalo Minutos" dataDxfId="0"/>
    <tableColumn id="21" xr3:uid="{70C5455B-2AE5-4BDE-98ED-549502E474BB}" name="Rapida Manha 120m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6E74D-5813-4E23-9B60-3E448E73423F}">
  <sheetPr codeName="Planilha1">
    <tabColor rgb="FF2563EB"/>
    <pageSetUpPr fitToPage="1"/>
  </sheetPr>
  <dimension ref="A1:AZ60"/>
  <sheetViews>
    <sheetView showGridLines="0" topLeftCell="A2" zoomScale="80" zoomScaleNormal="80" workbookViewId="0">
      <selection sqref="A1:P3"/>
    </sheetView>
  </sheetViews>
  <sheetFormatPr defaultRowHeight="15" x14ac:dyDescent="0.25"/>
  <cols>
    <col min="1" max="16" width="10.28515625" style="13" customWidth="1"/>
    <col min="17" max="26" width="9.140625" style="13"/>
    <col min="27" max="52" width="0" style="13" hidden="1" customWidth="1"/>
    <col min="53" max="16384" width="9.140625" style="13"/>
  </cols>
  <sheetData>
    <row r="1" spans="1:52" ht="27.95" customHeight="1" x14ac:dyDescent="0.25">
      <c r="A1" s="51" t="s">
        <v>185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 ht="24" customHeight="1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AA2" t="s">
        <v>180</v>
      </c>
      <c r="AB2" t="s">
        <v>172</v>
      </c>
      <c r="AC2"/>
      <c r="AD2"/>
      <c r="AE2"/>
      <c r="AF2" t="s">
        <v>0</v>
      </c>
      <c r="AG2" t="s">
        <v>1</v>
      </c>
      <c r="AH2" t="s">
        <v>196</v>
      </c>
      <c r="AI2"/>
      <c r="AJ2"/>
      <c r="AK2" t="s">
        <v>7</v>
      </c>
      <c r="AL2" t="s">
        <v>1</v>
      </c>
      <c r="AM2" t="s">
        <v>196</v>
      </c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ht="18" customHeight="1" x14ac:dyDescent="0.2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AA3" t="s">
        <v>193</v>
      </c>
      <c r="AB3" s="15">
        <f>G8</f>
        <v>17</v>
      </c>
      <c r="AC3"/>
      <c r="AD3"/>
      <c r="AE3"/>
      <c r="AF3" t="s">
        <v>160</v>
      </c>
      <c r="AG3">
        <v>3</v>
      </c>
      <c r="AH3">
        <v>1</v>
      </c>
      <c r="AI3"/>
      <c r="AJ3"/>
      <c r="AK3" s="37" t="s">
        <v>1317</v>
      </c>
      <c r="AL3">
        <v>3</v>
      </c>
      <c r="AM3">
        <v>1</v>
      </c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 ht="21.95" customHeight="1" x14ac:dyDescent="0.25">
      <c r="A4" s="53" t="s">
        <v>186</v>
      </c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AA4" t="s">
        <v>194</v>
      </c>
      <c r="AB4" s="15">
        <f>D8-G8</f>
        <v>37</v>
      </c>
      <c r="AC4"/>
      <c r="AD4"/>
      <c r="AE4"/>
      <c r="AF4" t="s">
        <v>469</v>
      </c>
      <c r="AG4">
        <v>3</v>
      </c>
      <c r="AH4">
        <v>0</v>
      </c>
      <c r="AI4"/>
      <c r="AJ4"/>
      <c r="AK4" s="37" t="s">
        <v>1318</v>
      </c>
      <c r="AL4">
        <v>9</v>
      </c>
      <c r="AM4">
        <v>5</v>
      </c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2" ht="33.950000000000003" customHeight="1" x14ac:dyDescent="0.25">
      <c r="AA5" t="s">
        <v>195</v>
      </c>
      <c r="AB5" s="15">
        <f>M8</f>
        <v>105</v>
      </c>
      <c r="AC5"/>
      <c r="AD5"/>
      <c r="AE5"/>
      <c r="AF5" t="s">
        <v>126</v>
      </c>
      <c r="AG5">
        <v>2</v>
      </c>
      <c r="AH5">
        <v>0</v>
      </c>
      <c r="AI5"/>
      <c r="AJ5"/>
      <c r="AK5" t="s">
        <v>1319</v>
      </c>
      <c r="AL5">
        <v>17</v>
      </c>
      <c r="AM5">
        <v>6</v>
      </c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 x14ac:dyDescent="0.25">
      <c r="A6" s="54" t="s">
        <v>187</v>
      </c>
      <c r="B6" s="54"/>
      <c r="C6" s="54"/>
      <c r="D6" s="54" t="s">
        <v>178</v>
      </c>
      <c r="E6" s="54"/>
      <c r="F6" s="54"/>
      <c r="G6" s="54" t="s">
        <v>188</v>
      </c>
      <c r="H6" s="54"/>
      <c r="I6" s="54"/>
      <c r="J6" s="54" t="s">
        <v>189</v>
      </c>
      <c r="K6" s="54"/>
      <c r="L6" s="54"/>
      <c r="M6" s="54" t="s">
        <v>179</v>
      </c>
      <c r="N6" s="54"/>
      <c r="O6" s="54"/>
      <c r="P6" s="54"/>
      <c r="AA6" t="s">
        <v>171</v>
      </c>
      <c r="AB6" s="15">
        <f>ROWS(tbBaseDetalhada[Ficha])-A8</f>
        <v>0</v>
      </c>
      <c r="AC6"/>
      <c r="AD6"/>
      <c r="AE6"/>
      <c r="AF6" t="s">
        <v>53</v>
      </c>
      <c r="AG6">
        <v>2</v>
      </c>
      <c r="AH6">
        <v>0</v>
      </c>
      <c r="AI6"/>
      <c r="AJ6"/>
      <c r="AK6" t="s">
        <v>1320</v>
      </c>
      <c r="AL6">
        <v>10</v>
      </c>
      <c r="AM6">
        <v>4</v>
      </c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AA7"/>
      <c r="AB7"/>
      <c r="AC7"/>
      <c r="AD7"/>
      <c r="AE7"/>
      <c r="AF7" t="s">
        <v>471</v>
      </c>
      <c r="AG7">
        <v>2</v>
      </c>
      <c r="AH7">
        <v>0</v>
      </c>
      <c r="AI7"/>
      <c r="AJ7"/>
      <c r="AK7" t="s">
        <v>1321</v>
      </c>
      <c r="AL7">
        <v>5</v>
      </c>
      <c r="AM7">
        <v>1</v>
      </c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ht="42.75" customHeight="1" x14ac:dyDescent="0.25">
      <c r="A8" s="55">
        <f>D8+M8</f>
        <v>159</v>
      </c>
      <c r="B8" s="56"/>
      <c r="C8" s="56"/>
      <c r="D8" s="57">
        <f>COUNTIFS(tbBaseDetalhada[Finalizado],"Sim",tbBaseDetalhada[Periodo Finalizacao],"Manha")</f>
        <v>54</v>
      </c>
      <c r="E8" s="58"/>
      <c r="F8" s="58"/>
      <c r="G8" s="59">
        <f>COUNTIF(tbBaseDetalhada[Rapida Manha 120min],"Sim")</f>
        <v>17</v>
      </c>
      <c r="H8" s="60"/>
      <c r="I8" s="60"/>
      <c r="J8" s="61">
        <f>AVERAGEIFS(tbBaseDetalhada[Intervalo Minutos],tbBaseDetalhada[Rapida Manha 120min],"Sim")</f>
        <v>28.988235294117651</v>
      </c>
      <c r="K8" s="62"/>
      <c r="L8" s="62"/>
      <c r="M8" s="63">
        <f>COUNTIFS(tbBaseDetalhada[Finalizado],"Sim",tbBaseDetalhada[Periodo Finalizacao],"Tarde")</f>
        <v>105</v>
      </c>
      <c r="N8" s="64"/>
      <c r="O8" s="64"/>
      <c r="P8" s="64"/>
      <c r="AA8"/>
      <c r="AB8"/>
      <c r="AC8"/>
      <c r="AD8"/>
      <c r="AE8"/>
      <c r="AF8" t="s">
        <v>476</v>
      </c>
      <c r="AG8">
        <v>2</v>
      </c>
      <c r="AH8">
        <v>1</v>
      </c>
      <c r="AI8"/>
      <c r="AJ8"/>
      <c r="AK8" t="s">
        <v>1322</v>
      </c>
      <c r="AL8">
        <v>10</v>
      </c>
      <c r="AM8">
        <v>0</v>
      </c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x14ac:dyDescent="0.25">
      <c r="A9" s="56"/>
      <c r="B9" s="56"/>
      <c r="C9" s="56"/>
      <c r="D9" s="58"/>
      <c r="E9" s="58"/>
      <c r="F9" s="58"/>
      <c r="G9" s="60"/>
      <c r="H9" s="60"/>
      <c r="I9" s="60"/>
      <c r="J9" s="62"/>
      <c r="K9" s="62"/>
      <c r="L9" s="62"/>
      <c r="M9" s="64"/>
      <c r="N9" s="64"/>
      <c r="O9" s="64"/>
      <c r="P9" s="64"/>
      <c r="AA9"/>
      <c r="AB9"/>
      <c r="AC9"/>
      <c r="AD9"/>
      <c r="AE9"/>
      <c r="AF9" t="s">
        <v>527</v>
      </c>
      <c r="AG9">
        <v>2</v>
      </c>
      <c r="AH9">
        <v>2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x14ac:dyDescent="0.25">
      <c r="A10" s="56"/>
      <c r="B10" s="56"/>
      <c r="C10" s="56"/>
      <c r="D10" s="58"/>
      <c r="E10" s="58"/>
      <c r="F10" s="58"/>
      <c r="G10" s="60"/>
      <c r="H10" s="60"/>
      <c r="I10" s="60"/>
      <c r="J10" s="62"/>
      <c r="K10" s="62"/>
      <c r="L10" s="62"/>
      <c r="M10" s="64"/>
      <c r="N10" s="64"/>
      <c r="O10" s="64"/>
      <c r="P10" s="64"/>
      <c r="AA10"/>
      <c r="AB10"/>
      <c r="AC10"/>
      <c r="AD10"/>
      <c r="AE10"/>
      <c r="AF10" t="s">
        <v>541</v>
      </c>
      <c r="AG10">
        <v>2</v>
      </c>
      <c r="AH10">
        <v>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 x14ac:dyDescent="0.25">
      <c r="AA11"/>
      <c r="AB11"/>
      <c r="AC11"/>
      <c r="AD11"/>
      <c r="AE11"/>
      <c r="AF11" t="s">
        <v>606</v>
      </c>
      <c r="AG11">
        <v>2</v>
      </c>
      <c r="AH11">
        <v>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 x14ac:dyDescent="0.25">
      <c r="A12" s="44" t="s">
        <v>190</v>
      </c>
      <c r="B12" s="44"/>
      <c r="C12" s="44"/>
      <c r="D12" s="44"/>
      <c r="E12" s="44"/>
      <c r="F12" s="44"/>
      <c r="G12" s="44"/>
      <c r="H12" s="44"/>
      <c r="I12" s="44" t="s">
        <v>191</v>
      </c>
      <c r="J12" s="44"/>
      <c r="K12" s="44"/>
      <c r="L12" s="44"/>
      <c r="M12" s="44"/>
      <c r="N12" s="44"/>
      <c r="O12" s="44"/>
      <c r="P12" s="44"/>
      <c r="AA12"/>
      <c r="AB12"/>
      <c r="AC12"/>
      <c r="AD12"/>
      <c r="AE12"/>
      <c r="AF12" t="s">
        <v>477</v>
      </c>
      <c r="AG12">
        <v>2</v>
      </c>
      <c r="AH12">
        <v>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2" x14ac:dyDescent="0.25"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x14ac:dyDescent="0.25"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x14ac:dyDescent="0.25"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x14ac:dyDescent="0.25"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5"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5"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5"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5"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5"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5"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5"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5"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5"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5"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5"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5"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5"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5"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5">
      <c r="A31" s="44" t="s">
        <v>192</v>
      </c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5"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27:52" x14ac:dyDescent="0.25"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27:52" x14ac:dyDescent="0.25"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27:52" x14ac:dyDescent="0.25"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27:52" x14ac:dyDescent="0.25"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27:52" x14ac:dyDescent="0.25"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27:52" x14ac:dyDescent="0.25"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27:52" x14ac:dyDescent="0.25"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27:52" x14ac:dyDescent="0.25"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27:52" x14ac:dyDescent="0.25"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27:52" x14ac:dyDescent="0.25"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27:52" x14ac:dyDescent="0.25"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27:52" x14ac:dyDescent="0.25"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27:52" x14ac:dyDescent="0.25"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7:52" x14ac:dyDescent="0.25"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7:52" x14ac:dyDescent="0.25"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7:52" x14ac:dyDescent="0.25"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5"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5"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5">
      <c r="A51" s="45" t="s">
        <v>197</v>
      </c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5"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5">
      <c r="A55" s="47" t="s">
        <v>198</v>
      </c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9" t="s">
        <v>181</v>
      </c>
      <c r="N55" s="50"/>
      <c r="O55" s="50"/>
      <c r="P55" s="50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5"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5"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5"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5"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5"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</sheetData>
  <mergeCells count="18">
    <mergeCell ref="A1:P3"/>
    <mergeCell ref="A4:P4"/>
    <mergeCell ref="A6:C7"/>
    <mergeCell ref="A8:C10"/>
    <mergeCell ref="D6:F7"/>
    <mergeCell ref="D8:F10"/>
    <mergeCell ref="G6:I7"/>
    <mergeCell ref="G8:I10"/>
    <mergeCell ref="J6:L7"/>
    <mergeCell ref="J8:L10"/>
    <mergeCell ref="M6:P7"/>
    <mergeCell ref="M8:P10"/>
    <mergeCell ref="A12:H12"/>
    <mergeCell ref="I12:P12"/>
    <mergeCell ref="A31:P31"/>
    <mergeCell ref="A51:P53"/>
    <mergeCell ref="A55:L55"/>
    <mergeCell ref="M55:P55"/>
  </mergeCells>
  <hyperlinks>
    <hyperlink ref="M55" location="'Pivot Finalizadas'!A1" display="ABRIR TABELA DINAMICA  →" xr:uid="{9AA29FCD-7789-4578-B79C-CA48944294AB}"/>
  </hyperlinks>
  <pageMargins left="0.511811024" right="0.511811024" top="0.78740157499999996" bottom="0.78740157499999996" header="0.31496062000000002" footer="0.31496062000000002"/>
  <pageSetup paperSize="9" scale="5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6708F-4DB3-4960-B88E-CA37710B0029}">
  <sheetPr codeName="Planilha2">
    <tabColor rgb="FF00B050"/>
  </sheetPr>
  <dimension ref="A1:W409"/>
  <sheetViews>
    <sheetView workbookViewId="0">
      <pane ySplit="1" topLeftCell="A2" activePane="bottomLeft" state="frozenSplit"/>
      <selection pane="bottomLeft" activeCell="A2" sqref="A2:T409"/>
    </sheetView>
  </sheetViews>
  <sheetFormatPr defaultRowHeight="15" x14ac:dyDescent="0.25"/>
  <cols>
    <col min="5" max="5" width="10.5703125" customWidth="1"/>
    <col min="7" max="7" width="10" customWidth="1"/>
    <col min="9" max="9" width="10" customWidth="1"/>
    <col min="10" max="10" width="15.140625" customWidth="1"/>
    <col min="11" max="11" width="9.42578125" customWidth="1"/>
    <col min="12" max="12" width="12.140625" customWidth="1"/>
    <col min="13" max="13" width="12.7109375" customWidth="1"/>
    <col min="15" max="15" width="15.5703125" customWidth="1"/>
    <col min="16" max="17" width="12.140625" customWidth="1"/>
    <col min="18" max="18" width="18" customWidth="1"/>
    <col min="19" max="19" width="14" customWidth="1"/>
    <col min="20" max="20" width="19.85546875" customWidth="1"/>
    <col min="23" max="23" width="48.7109375" customWidth="1"/>
  </cols>
  <sheetData>
    <row r="1" spans="1:23" ht="18.75" x14ac:dyDescent="0.3">
      <c r="A1" t="s">
        <v>6</v>
      </c>
      <c r="B1" t="s">
        <v>8</v>
      </c>
      <c r="C1" t="s">
        <v>9</v>
      </c>
      <c r="D1" t="s">
        <v>7</v>
      </c>
      <c r="E1" t="s">
        <v>0</v>
      </c>
      <c r="F1" t="s">
        <v>10</v>
      </c>
      <c r="G1" t="s">
        <v>11</v>
      </c>
      <c r="H1" t="s">
        <v>12</v>
      </c>
      <c r="I1" t="s">
        <v>13</v>
      </c>
      <c r="J1" t="s">
        <v>199</v>
      </c>
      <c r="K1" t="s">
        <v>200</v>
      </c>
      <c r="L1" t="s">
        <v>201</v>
      </c>
      <c r="M1" t="s">
        <v>202</v>
      </c>
      <c r="N1" t="s">
        <v>203</v>
      </c>
      <c r="O1" t="s">
        <v>15</v>
      </c>
      <c r="P1" t="s">
        <v>16</v>
      </c>
      <c r="Q1" t="s">
        <v>204</v>
      </c>
      <c r="R1" t="s">
        <v>205</v>
      </c>
      <c r="S1" t="s">
        <v>206</v>
      </c>
      <c r="T1" t="s">
        <v>207</v>
      </c>
      <c r="W1" s="17" t="s">
        <v>371</v>
      </c>
    </row>
    <row r="2" spans="1:23" ht="30" x14ac:dyDescent="0.25">
      <c r="A2" t="s">
        <v>478</v>
      </c>
      <c r="B2" t="s">
        <v>23</v>
      </c>
      <c r="C2" t="s">
        <v>24</v>
      </c>
      <c r="D2" t="s">
        <v>479</v>
      </c>
      <c r="E2" t="s">
        <v>407</v>
      </c>
      <c r="F2" t="s">
        <v>331</v>
      </c>
      <c r="G2" t="s">
        <v>146</v>
      </c>
      <c r="H2" t="s">
        <v>332</v>
      </c>
      <c r="I2" t="s">
        <v>147</v>
      </c>
      <c r="J2" t="s">
        <v>216</v>
      </c>
      <c r="K2" t="s">
        <v>217</v>
      </c>
      <c r="L2" t="s">
        <v>217</v>
      </c>
      <c r="M2" t="s">
        <v>212</v>
      </c>
      <c r="N2" t="s">
        <v>480</v>
      </c>
      <c r="O2" t="s">
        <v>28</v>
      </c>
      <c r="P2" t="s">
        <v>28</v>
      </c>
      <c r="Q2" t="s">
        <v>146</v>
      </c>
      <c r="R2" t="s">
        <v>481</v>
      </c>
      <c r="S2" t="s">
        <v>47</v>
      </c>
      <c r="T2" t="s">
        <v>482</v>
      </c>
      <c r="W2" s="25" t="s">
        <v>1323</v>
      </c>
    </row>
    <row r="3" spans="1:23" x14ac:dyDescent="0.25">
      <c r="A3" t="s">
        <v>483</v>
      </c>
      <c r="B3" t="s">
        <v>23</v>
      </c>
      <c r="C3" t="s">
        <v>213</v>
      </c>
      <c r="D3" t="s">
        <v>484</v>
      </c>
      <c r="E3" t="s">
        <v>133</v>
      </c>
      <c r="F3" t="s">
        <v>340</v>
      </c>
      <c r="G3" t="s">
        <v>134</v>
      </c>
      <c r="H3" t="s">
        <v>313</v>
      </c>
      <c r="I3" t="s">
        <v>156</v>
      </c>
      <c r="J3" t="s">
        <v>229</v>
      </c>
      <c r="K3" t="s">
        <v>225</v>
      </c>
      <c r="L3" t="s">
        <v>225</v>
      </c>
      <c r="M3" t="s">
        <v>212</v>
      </c>
      <c r="N3" t="s">
        <v>213</v>
      </c>
      <c r="O3" t="s">
        <v>28</v>
      </c>
      <c r="P3" t="s">
        <v>28</v>
      </c>
      <c r="Q3" t="s">
        <v>33</v>
      </c>
      <c r="R3" t="s">
        <v>485</v>
      </c>
      <c r="S3" t="s">
        <v>47</v>
      </c>
      <c r="T3" t="s">
        <v>486</v>
      </c>
    </row>
    <row r="4" spans="1:23" x14ac:dyDescent="0.25">
      <c r="A4" t="s">
        <v>487</v>
      </c>
      <c r="B4" t="s">
        <v>23</v>
      </c>
      <c r="C4" t="s">
        <v>213</v>
      </c>
      <c r="D4" t="s">
        <v>484</v>
      </c>
      <c r="E4" t="s">
        <v>104</v>
      </c>
      <c r="F4" t="s">
        <v>317</v>
      </c>
      <c r="G4" t="s">
        <v>105</v>
      </c>
      <c r="H4" t="s">
        <v>318</v>
      </c>
      <c r="I4" t="s">
        <v>106</v>
      </c>
      <c r="J4" t="s">
        <v>229</v>
      </c>
      <c r="K4" t="s">
        <v>225</v>
      </c>
      <c r="L4" t="s">
        <v>225</v>
      </c>
      <c r="M4" t="s">
        <v>212</v>
      </c>
      <c r="N4" t="s">
        <v>213</v>
      </c>
      <c r="O4" t="s">
        <v>28</v>
      </c>
      <c r="P4" t="s">
        <v>28</v>
      </c>
      <c r="Q4" t="s">
        <v>33</v>
      </c>
      <c r="R4" t="s">
        <v>488</v>
      </c>
      <c r="S4" t="s">
        <v>47</v>
      </c>
      <c r="T4" t="s">
        <v>489</v>
      </c>
      <c r="W4" t="s">
        <v>372</v>
      </c>
    </row>
    <row r="5" spans="1:23" x14ac:dyDescent="0.25">
      <c r="A5" t="s">
        <v>490</v>
      </c>
      <c r="B5" t="s">
        <v>23</v>
      </c>
      <c r="C5" t="s">
        <v>24</v>
      </c>
      <c r="D5" t="s">
        <v>484</v>
      </c>
      <c r="E5" t="s">
        <v>491</v>
      </c>
      <c r="F5" t="s">
        <v>492</v>
      </c>
      <c r="G5" t="s">
        <v>493</v>
      </c>
      <c r="H5" t="s">
        <v>494</v>
      </c>
      <c r="I5" t="s">
        <v>495</v>
      </c>
      <c r="J5" t="s">
        <v>245</v>
      </c>
      <c r="K5" t="s">
        <v>496</v>
      </c>
      <c r="L5" t="s">
        <v>496</v>
      </c>
      <c r="M5" t="s">
        <v>212</v>
      </c>
      <c r="N5" t="s">
        <v>213</v>
      </c>
      <c r="O5" t="s">
        <v>28</v>
      </c>
      <c r="P5" t="s">
        <v>28</v>
      </c>
      <c r="Q5" t="s">
        <v>493</v>
      </c>
      <c r="R5" t="s">
        <v>497</v>
      </c>
      <c r="S5" t="s">
        <v>47</v>
      </c>
      <c r="T5" t="s">
        <v>498</v>
      </c>
    </row>
    <row r="6" spans="1:23" x14ac:dyDescent="0.25">
      <c r="A6" t="s">
        <v>490</v>
      </c>
      <c r="B6" t="s">
        <v>23</v>
      </c>
      <c r="C6" t="s">
        <v>24</v>
      </c>
      <c r="D6" t="s">
        <v>484</v>
      </c>
      <c r="E6" t="s">
        <v>491</v>
      </c>
      <c r="F6" t="s">
        <v>492</v>
      </c>
      <c r="G6" t="s">
        <v>493</v>
      </c>
      <c r="H6" t="s">
        <v>494</v>
      </c>
      <c r="I6" t="s">
        <v>495</v>
      </c>
      <c r="J6" t="s">
        <v>210</v>
      </c>
      <c r="K6" t="s">
        <v>236</v>
      </c>
      <c r="L6" t="s">
        <v>236</v>
      </c>
      <c r="M6" t="s">
        <v>212</v>
      </c>
      <c r="N6" t="s">
        <v>213</v>
      </c>
      <c r="O6" t="s">
        <v>28</v>
      </c>
      <c r="P6" t="s">
        <v>28</v>
      </c>
      <c r="Q6" t="s">
        <v>493</v>
      </c>
      <c r="R6" t="s">
        <v>497</v>
      </c>
      <c r="S6" t="s">
        <v>47</v>
      </c>
      <c r="T6" t="s">
        <v>498</v>
      </c>
    </row>
    <row r="7" spans="1:23" x14ac:dyDescent="0.25">
      <c r="A7" t="s">
        <v>499</v>
      </c>
      <c r="B7" t="s">
        <v>23</v>
      </c>
      <c r="C7" t="s">
        <v>24</v>
      </c>
      <c r="D7" t="s">
        <v>484</v>
      </c>
      <c r="E7" t="s">
        <v>344</v>
      </c>
      <c r="F7" t="s">
        <v>345</v>
      </c>
      <c r="G7" t="s">
        <v>102</v>
      </c>
      <c r="H7" t="s">
        <v>346</v>
      </c>
      <c r="I7" t="s">
        <v>103</v>
      </c>
      <c r="J7" t="s">
        <v>230</v>
      </c>
      <c r="K7" t="s">
        <v>221</v>
      </c>
      <c r="L7" t="s">
        <v>221</v>
      </c>
      <c r="M7" t="s">
        <v>212</v>
      </c>
      <c r="N7" t="s">
        <v>213</v>
      </c>
      <c r="O7" t="s">
        <v>28</v>
      </c>
      <c r="P7" t="s">
        <v>28</v>
      </c>
      <c r="Q7" t="s">
        <v>102</v>
      </c>
      <c r="R7" t="s">
        <v>500</v>
      </c>
      <c r="S7" t="s">
        <v>47</v>
      </c>
      <c r="T7" t="s">
        <v>501</v>
      </c>
    </row>
    <row r="8" spans="1:23" x14ac:dyDescent="0.25">
      <c r="A8" t="s">
        <v>502</v>
      </c>
      <c r="B8" t="s">
        <v>23</v>
      </c>
      <c r="C8" t="s">
        <v>24</v>
      </c>
      <c r="D8" t="s">
        <v>484</v>
      </c>
      <c r="E8" t="s">
        <v>473</v>
      </c>
      <c r="F8" t="s">
        <v>443</v>
      </c>
      <c r="G8" t="s">
        <v>444</v>
      </c>
      <c r="H8" t="s">
        <v>445</v>
      </c>
      <c r="I8" t="s">
        <v>446</v>
      </c>
      <c r="J8" t="s">
        <v>230</v>
      </c>
      <c r="K8" t="s">
        <v>221</v>
      </c>
      <c r="L8" t="s">
        <v>221</v>
      </c>
      <c r="M8" t="s">
        <v>212</v>
      </c>
      <c r="N8" t="s">
        <v>213</v>
      </c>
      <c r="O8" t="s">
        <v>28</v>
      </c>
      <c r="P8" t="s">
        <v>28</v>
      </c>
      <c r="Q8" t="s">
        <v>446</v>
      </c>
      <c r="R8" t="s">
        <v>503</v>
      </c>
      <c r="S8" t="s">
        <v>47</v>
      </c>
      <c r="T8" t="s">
        <v>504</v>
      </c>
    </row>
    <row r="9" spans="1:23" x14ac:dyDescent="0.25">
      <c r="A9" t="s">
        <v>505</v>
      </c>
      <c r="B9" t="s">
        <v>23</v>
      </c>
      <c r="C9" t="s">
        <v>24</v>
      </c>
      <c r="D9" t="s">
        <v>484</v>
      </c>
      <c r="E9" t="s">
        <v>110</v>
      </c>
      <c r="F9" t="s">
        <v>278</v>
      </c>
      <c r="G9" t="s">
        <v>112</v>
      </c>
      <c r="H9" t="s">
        <v>506</v>
      </c>
      <c r="I9" t="s">
        <v>507</v>
      </c>
      <c r="J9" t="s">
        <v>222</v>
      </c>
      <c r="K9" t="s">
        <v>237</v>
      </c>
      <c r="L9" t="s">
        <v>237</v>
      </c>
      <c r="M9" t="s">
        <v>212</v>
      </c>
      <c r="N9" t="s">
        <v>213</v>
      </c>
      <c r="O9" t="s">
        <v>28</v>
      </c>
      <c r="P9" t="s">
        <v>28</v>
      </c>
      <c r="Q9" t="s">
        <v>112</v>
      </c>
      <c r="R9" t="s">
        <v>508</v>
      </c>
      <c r="S9" t="s">
        <v>47</v>
      </c>
      <c r="T9" t="s">
        <v>509</v>
      </c>
    </row>
    <row r="10" spans="1:23" x14ac:dyDescent="0.25">
      <c r="A10" t="s">
        <v>505</v>
      </c>
      <c r="B10" t="s">
        <v>23</v>
      </c>
      <c r="C10" t="s">
        <v>24</v>
      </c>
      <c r="D10" t="s">
        <v>484</v>
      </c>
      <c r="E10" t="s">
        <v>110</v>
      </c>
      <c r="F10" t="s">
        <v>278</v>
      </c>
      <c r="G10" t="s">
        <v>112</v>
      </c>
      <c r="H10" t="s">
        <v>506</v>
      </c>
      <c r="I10" t="s">
        <v>507</v>
      </c>
      <c r="J10" t="s">
        <v>257</v>
      </c>
      <c r="K10" t="s">
        <v>221</v>
      </c>
      <c r="L10" t="s">
        <v>221</v>
      </c>
      <c r="M10" t="s">
        <v>212</v>
      </c>
      <c r="N10" t="s">
        <v>213</v>
      </c>
      <c r="O10" t="s">
        <v>28</v>
      </c>
      <c r="P10" t="s">
        <v>28</v>
      </c>
      <c r="Q10" t="s">
        <v>112</v>
      </c>
      <c r="R10" t="s">
        <v>508</v>
      </c>
      <c r="S10" t="s">
        <v>47</v>
      </c>
      <c r="T10" t="s">
        <v>509</v>
      </c>
    </row>
    <row r="11" spans="1:23" x14ac:dyDescent="0.25">
      <c r="A11" t="s">
        <v>510</v>
      </c>
      <c r="B11" t="s">
        <v>23</v>
      </c>
      <c r="C11" t="s">
        <v>24</v>
      </c>
      <c r="D11" t="s">
        <v>484</v>
      </c>
      <c r="E11" t="s">
        <v>511</v>
      </c>
      <c r="F11" t="s">
        <v>394</v>
      </c>
      <c r="G11" t="s">
        <v>395</v>
      </c>
      <c r="H11" t="s">
        <v>396</v>
      </c>
      <c r="I11" t="s">
        <v>397</v>
      </c>
      <c r="J11" t="s">
        <v>222</v>
      </c>
      <c r="K11" t="s">
        <v>237</v>
      </c>
      <c r="L11" t="s">
        <v>223</v>
      </c>
      <c r="M11" t="s">
        <v>212</v>
      </c>
      <c r="N11" t="s">
        <v>301</v>
      </c>
      <c r="O11" t="s">
        <v>28</v>
      </c>
      <c r="P11" t="s">
        <v>28</v>
      </c>
      <c r="Q11" t="s">
        <v>395</v>
      </c>
      <c r="R11" t="s">
        <v>512</v>
      </c>
      <c r="S11" t="s">
        <v>47</v>
      </c>
      <c r="T11" t="s">
        <v>513</v>
      </c>
    </row>
    <row r="12" spans="1:23" x14ac:dyDescent="0.25">
      <c r="A12" t="s">
        <v>510</v>
      </c>
      <c r="B12" t="s">
        <v>23</v>
      </c>
      <c r="C12" t="s">
        <v>24</v>
      </c>
      <c r="D12" t="s">
        <v>484</v>
      </c>
      <c r="E12" t="s">
        <v>511</v>
      </c>
      <c r="F12" t="s">
        <v>394</v>
      </c>
      <c r="G12" t="s">
        <v>395</v>
      </c>
      <c r="H12" t="s">
        <v>396</v>
      </c>
      <c r="I12" t="s">
        <v>397</v>
      </c>
      <c r="J12" t="s">
        <v>230</v>
      </c>
      <c r="K12" t="s">
        <v>221</v>
      </c>
      <c r="L12" t="s">
        <v>221</v>
      </c>
      <c r="M12" t="s">
        <v>212</v>
      </c>
      <c r="N12" t="s">
        <v>301</v>
      </c>
      <c r="O12" t="s">
        <v>28</v>
      </c>
      <c r="P12" t="s">
        <v>28</v>
      </c>
      <c r="Q12" t="s">
        <v>395</v>
      </c>
      <c r="R12" t="s">
        <v>512</v>
      </c>
      <c r="S12" t="s">
        <v>47</v>
      </c>
      <c r="T12" t="s">
        <v>513</v>
      </c>
    </row>
    <row r="13" spans="1:23" x14ac:dyDescent="0.25">
      <c r="A13" t="s">
        <v>510</v>
      </c>
      <c r="B13" t="s">
        <v>23</v>
      </c>
      <c r="C13" t="s">
        <v>24</v>
      </c>
      <c r="D13" t="s">
        <v>484</v>
      </c>
      <c r="E13" t="s">
        <v>511</v>
      </c>
      <c r="F13" t="s">
        <v>394</v>
      </c>
      <c r="G13" t="s">
        <v>395</v>
      </c>
      <c r="H13" t="s">
        <v>396</v>
      </c>
      <c r="I13" t="s">
        <v>397</v>
      </c>
      <c r="J13" t="s">
        <v>224</v>
      </c>
      <c r="K13" t="s">
        <v>223</v>
      </c>
      <c r="L13" t="s">
        <v>239</v>
      </c>
      <c r="M13" t="s">
        <v>212</v>
      </c>
      <c r="N13" t="s">
        <v>213</v>
      </c>
      <c r="O13" t="s">
        <v>28</v>
      </c>
      <c r="P13" t="s">
        <v>28</v>
      </c>
      <c r="Q13" t="s">
        <v>395</v>
      </c>
      <c r="R13" t="s">
        <v>512</v>
      </c>
      <c r="S13" t="s">
        <v>47</v>
      </c>
      <c r="T13" t="s">
        <v>513</v>
      </c>
    </row>
    <row r="14" spans="1:23" x14ac:dyDescent="0.25">
      <c r="A14" t="s">
        <v>514</v>
      </c>
      <c r="B14" t="s">
        <v>23</v>
      </c>
      <c r="C14" t="s">
        <v>38</v>
      </c>
      <c r="D14" t="s">
        <v>484</v>
      </c>
      <c r="E14" t="s">
        <v>515</v>
      </c>
      <c r="F14" t="s">
        <v>349</v>
      </c>
      <c r="G14" t="s">
        <v>70</v>
      </c>
      <c r="H14" t="s">
        <v>350</v>
      </c>
      <c r="I14" t="s">
        <v>71</v>
      </c>
      <c r="J14" t="s">
        <v>347</v>
      </c>
      <c r="K14" t="s">
        <v>255</v>
      </c>
      <c r="L14" t="s">
        <v>255</v>
      </c>
      <c r="M14" t="s">
        <v>212</v>
      </c>
      <c r="N14" t="s">
        <v>213</v>
      </c>
      <c r="O14" t="s">
        <v>28</v>
      </c>
      <c r="P14" t="s">
        <v>28</v>
      </c>
      <c r="Q14" t="s">
        <v>70</v>
      </c>
      <c r="R14" t="s">
        <v>516</v>
      </c>
      <c r="S14" t="s">
        <v>33</v>
      </c>
      <c r="T14" t="s">
        <v>517</v>
      </c>
    </row>
    <row r="15" spans="1:23" x14ac:dyDescent="0.25">
      <c r="A15" t="s">
        <v>514</v>
      </c>
      <c r="B15" t="s">
        <v>23</v>
      </c>
      <c r="C15" t="s">
        <v>38</v>
      </c>
      <c r="D15" t="s">
        <v>484</v>
      </c>
      <c r="E15" t="s">
        <v>515</v>
      </c>
      <c r="F15" t="s">
        <v>349</v>
      </c>
      <c r="G15" t="s">
        <v>70</v>
      </c>
      <c r="H15" t="s">
        <v>350</v>
      </c>
      <c r="I15" t="s">
        <v>71</v>
      </c>
      <c r="J15" t="s">
        <v>222</v>
      </c>
      <c r="K15" t="s">
        <v>237</v>
      </c>
      <c r="L15" t="s">
        <v>237</v>
      </c>
      <c r="M15" t="s">
        <v>212</v>
      </c>
      <c r="N15" t="s">
        <v>213</v>
      </c>
      <c r="O15" t="s">
        <v>28</v>
      </c>
      <c r="P15" t="s">
        <v>28</v>
      </c>
      <c r="Q15" t="s">
        <v>70</v>
      </c>
      <c r="R15" t="s">
        <v>516</v>
      </c>
      <c r="S15" t="s">
        <v>33</v>
      </c>
      <c r="T15" t="s">
        <v>517</v>
      </c>
    </row>
    <row r="16" spans="1:23" x14ac:dyDescent="0.25">
      <c r="A16" t="s">
        <v>514</v>
      </c>
      <c r="B16" t="s">
        <v>23</v>
      </c>
      <c r="C16" t="s">
        <v>38</v>
      </c>
      <c r="D16" t="s">
        <v>484</v>
      </c>
      <c r="E16" t="s">
        <v>515</v>
      </c>
      <c r="F16" t="s">
        <v>349</v>
      </c>
      <c r="G16" t="s">
        <v>70</v>
      </c>
      <c r="H16" t="s">
        <v>350</v>
      </c>
      <c r="I16" t="s">
        <v>71</v>
      </c>
      <c r="J16" t="s">
        <v>216</v>
      </c>
      <c r="K16" t="s">
        <v>217</v>
      </c>
      <c r="L16" t="s">
        <v>217</v>
      </c>
      <c r="M16" t="s">
        <v>212</v>
      </c>
      <c r="N16" t="s">
        <v>213</v>
      </c>
      <c r="O16" t="s">
        <v>28</v>
      </c>
      <c r="P16" t="s">
        <v>28</v>
      </c>
      <c r="Q16" t="s">
        <v>70</v>
      </c>
      <c r="R16" t="s">
        <v>516</v>
      </c>
      <c r="S16" t="s">
        <v>33</v>
      </c>
      <c r="T16" t="s">
        <v>517</v>
      </c>
    </row>
    <row r="17" spans="1:20" x14ac:dyDescent="0.25">
      <c r="A17" t="s">
        <v>514</v>
      </c>
      <c r="B17" t="s">
        <v>23</v>
      </c>
      <c r="C17" t="s">
        <v>38</v>
      </c>
      <c r="D17" t="s">
        <v>484</v>
      </c>
      <c r="E17" t="s">
        <v>515</v>
      </c>
      <c r="F17" t="s">
        <v>349</v>
      </c>
      <c r="G17" t="s">
        <v>70</v>
      </c>
      <c r="H17" t="s">
        <v>350</v>
      </c>
      <c r="I17" t="s">
        <v>71</v>
      </c>
      <c r="J17" t="s">
        <v>257</v>
      </c>
      <c r="K17" t="s">
        <v>221</v>
      </c>
      <c r="L17" t="s">
        <v>221</v>
      </c>
      <c r="M17" t="s">
        <v>212</v>
      </c>
      <c r="N17" t="s">
        <v>213</v>
      </c>
      <c r="O17" t="s">
        <v>28</v>
      </c>
      <c r="P17" t="s">
        <v>28</v>
      </c>
      <c r="Q17" t="s">
        <v>70</v>
      </c>
      <c r="R17" t="s">
        <v>516</v>
      </c>
      <c r="S17" t="s">
        <v>33</v>
      </c>
      <c r="T17" t="s">
        <v>517</v>
      </c>
    </row>
    <row r="18" spans="1:20" x14ac:dyDescent="0.25">
      <c r="A18" t="s">
        <v>518</v>
      </c>
      <c r="B18" t="s">
        <v>23</v>
      </c>
      <c r="C18" t="s">
        <v>38</v>
      </c>
      <c r="D18" t="s">
        <v>484</v>
      </c>
      <c r="E18" t="s">
        <v>519</v>
      </c>
      <c r="F18" t="s">
        <v>520</v>
      </c>
      <c r="G18" t="s">
        <v>521</v>
      </c>
      <c r="H18" t="s">
        <v>522</v>
      </c>
      <c r="I18" t="s">
        <v>523</v>
      </c>
      <c r="J18" t="s">
        <v>257</v>
      </c>
      <c r="K18" t="s">
        <v>256</v>
      </c>
      <c r="L18" t="s">
        <v>240</v>
      </c>
      <c r="M18" t="s">
        <v>212</v>
      </c>
      <c r="N18" t="s">
        <v>213</v>
      </c>
      <c r="O18" t="s">
        <v>28</v>
      </c>
      <c r="P18" t="s">
        <v>28</v>
      </c>
      <c r="Q18" t="s">
        <v>521</v>
      </c>
      <c r="R18" t="s">
        <v>524</v>
      </c>
      <c r="S18" t="s">
        <v>33</v>
      </c>
      <c r="T18" t="s">
        <v>525</v>
      </c>
    </row>
    <row r="19" spans="1:20" x14ac:dyDescent="0.25">
      <c r="A19" t="s">
        <v>518</v>
      </c>
      <c r="B19" t="s">
        <v>23</v>
      </c>
      <c r="C19" t="s">
        <v>38</v>
      </c>
      <c r="D19" t="s">
        <v>484</v>
      </c>
      <c r="E19" t="s">
        <v>519</v>
      </c>
      <c r="F19" t="s">
        <v>520</v>
      </c>
      <c r="G19" t="s">
        <v>521</v>
      </c>
      <c r="H19" t="s">
        <v>522</v>
      </c>
      <c r="I19" t="s">
        <v>523</v>
      </c>
      <c r="J19" t="s">
        <v>258</v>
      </c>
      <c r="K19" t="s">
        <v>254</v>
      </c>
      <c r="L19" t="s">
        <v>254</v>
      </c>
      <c r="M19" t="s">
        <v>212</v>
      </c>
      <c r="N19" t="s">
        <v>213</v>
      </c>
      <c r="O19" t="s">
        <v>28</v>
      </c>
      <c r="P19" t="s">
        <v>28</v>
      </c>
      <c r="Q19" t="s">
        <v>521</v>
      </c>
      <c r="R19" t="s">
        <v>524</v>
      </c>
      <c r="S19" t="s">
        <v>33</v>
      </c>
      <c r="T19" t="s">
        <v>525</v>
      </c>
    </row>
    <row r="20" spans="1:20" x14ac:dyDescent="0.25">
      <c r="A20" t="s">
        <v>526</v>
      </c>
      <c r="B20" t="s">
        <v>23</v>
      </c>
      <c r="C20" t="s">
        <v>24</v>
      </c>
      <c r="D20" t="s">
        <v>484</v>
      </c>
      <c r="E20" t="s">
        <v>527</v>
      </c>
      <c r="F20" t="s">
        <v>528</v>
      </c>
      <c r="G20" t="s">
        <v>529</v>
      </c>
      <c r="H20" t="s">
        <v>530</v>
      </c>
      <c r="I20" t="s">
        <v>531</v>
      </c>
      <c r="J20" t="s">
        <v>258</v>
      </c>
      <c r="K20" t="s">
        <v>217</v>
      </c>
      <c r="L20" t="s">
        <v>217</v>
      </c>
      <c r="M20" t="s">
        <v>212</v>
      </c>
      <c r="N20" t="s">
        <v>213</v>
      </c>
      <c r="O20" t="s">
        <v>28</v>
      </c>
      <c r="P20" t="s">
        <v>28</v>
      </c>
      <c r="Q20" t="s">
        <v>529</v>
      </c>
      <c r="R20" t="s">
        <v>532</v>
      </c>
      <c r="S20" t="s">
        <v>47</v>
      </c>
      <c r="T20" t="s">
        <v>533</v>
      </c>
    </row>
    <row r="21" spans="1:20" x14ac:dyDescent="0.25">
      <c r="A21" t="s">
        <v>526</v>
      </c>
      <c r="B21" t="s">
        <v>23</v>
      </c>
      <c r="C21" t="s">
        <v>24</v>
      </c>
      <c r="D21" t="s">
        <v>484</v>
      </c>
      <c r="E21" t="s">
        <v>527</v>
      </c>
      <c r="F21" t="s">
        <v>528</v>
      </c>
      <c r="G21" t="s">
        <v>529</v>
      </c>
      <c r="H21" t="s">
        <v>530</v>
      </c>
      <c r="I21" t="s">
        <v>531</v>
      </c>
      <c r="J21" t="s">
        <v>257</v>
      </c>
      <c r="K21" t="s">
        <v>217</v>
      </c>
      <c r="L21" t="s">
        <v>217</v>
      </c>
      <c r="M21" t="s">
        <v>212</v>
      </c>
      <c r="N21" t="s">
        <v>213</v>
      </c>
      <c r="O21" t="s">
        <v>28</v>
      </c>
      <c r="P21" t="s">
        <v>28</v>
      </c>
      <c r="Q21" t="s">
        <v>529</v>
      </c>
      <c r="R21" t="s">
        <v>532</v>
      </c>
      <c r="S21" t="s">
        <v>47</v>
      </c>
      <c r="T21" t="s">
        <v>533</v>
      </c>
    </row>
    <row r="22" spans="1:20" x14ac:dyDescent="0.25">
      <c r="A22" t="s">
        <v>526</v>
      </c>
      <c r="B22" t="s">
        <v>23</v>
      </c>
      <c r="C22" t="s">
        <v>24</v>
      </c>
      <c r="D22" t="s">
        <v>484</v>
      </c>
      <c r="E22" t="s">
        <v>527</v>
      </c>
      <c r="F22" t="s">
        <v>528</v>
      </c>
      <c r="G22" t="s">
        <v>529</v>
      </c>
      <c r="H22" t="s">
        <v>530</v>
      </c>
      <c r="I22" t="s">
        <v>531</v>
      </c>
      <c r="J22" t="s">
        <v>216</v>
      </c>
      <c r="K22" t="s">
        <v>217</v>
      </c>
      <c r="L22" t="s">
        <v>225</v>
      </c>
      <c r="M22" t="s">
        <v>212</v>
      </c>
      <c r="N22" t="s">
        <v>213</v>
      </c>
      <c r="O22" t="s">
        <v>28</v>
      </c>
      <c r="P22" t="s">
        <v>28</v>
      </c>
      <c r="Q22" t="s">
        <v>529</v>
      </c>
      <c r="R22" t="s">
        <v>532</v>
      </c>
      <c r="S22" t="s">
        <v>47</v>
      </c>
      <c r="T22" t="s">
        <v>533</v>
      </c>
    </row>
    <row r="23" spans="1:20" x14ac:dyDescent="0.25">
      <c r="A23" t="s">
        <v>534</v>
      </c>
      <c r="B23" t="s">
        <v>23</v>
      </c>
      <c r="C23" t="s">
        <v>38</v>
      </c>
      <c r="D23" t="s">
        <v>484</v>
      </c>
      <c r="E23" t="s">
        <v>535</v>
      </c>
      <c r="F23" t="s">
        <v>214</v>
      </c>
      <c r="G23" t="s">
        <v>127</v>
      </c>
      <c r="H23" t="s">
        <v>536</v>
      </c>
      <c r="I23" t="s">
        <v>537</v>
      </c>
      <c r="J23" t="s">
        <v>230</v>
      </c>
      <c r="K23" t="s">
        <v>221</v>
      </c>
      <c r="L23" t="s">
        <v>221</v>
      </c>
      <c r="M23" t="s">
        <v>212</v>
      </c>
      <c r="N23" t="s">
        <v>213</v>
      </c>
      <c r="O23" t="s">
        <v>28</v>
      </c>
      <c r="P23" t="s">
        <v>28</v>
      </c>
      <c r="Q23" t="s">
        <v>127</v>
      </c>
      <c r="R23" t="s">
        <v>538</v>
      </c>
      <c r="S23" t="s">
        <v>47</v>
      </c>
      <c r="T23" t="s">
        <v>539</v>
      </c>
    </row>
    <row r="24" spans="1:20" x14ac:dyDescent="0.25">
      <c r="A24" t="s">
        <v>534</v>
      </c>
      <c r="B24" t="s">
        <v>23</v>
      </c>
      <c r="C24" t="s">
        <v>38</v>
      </c>
      <c r="D24" t="s">
        <v>484</v>
      </c>
      <c r="E24" t="s">
        <v>535</v>
      </c>
      <c r="F24" t="s">
        <v>214</v>
      </c>
      <c r="G24" t="s">
        <v>127</v>
      </c>
      <c r="H24" t="s">
        <v>536</v>
      </c>
      <c r="I24" t="s">
        <v>537</v>
      </c>
      <c r="J24" t="s">
        <v>216</v>
      </c>
      <c r="K24" t="s">
        <v>225</v>
      </c>
      <c r="L24" t="s">
        <v>225</v>
      </c>
      <c r="M24" t="s">
        <v>212</v>
      </c>
      <c r="N24" t="s">
        <v>213</v>
      </c>
      <c r="O24" t="s">
        <v>28</v>
      </c>
      <c r="P24" t="s">
        <v>28</v>
      </c>
      <c r="Q24" t="s">
        <v>127</v>
      </c>
      <c r="R24" t="s">
        <v>538</v>
      </c>
      <c r="S24" t="s">
        <v>47</v>
      </c>
      <c r="T24" t="s">
        <v>539</v>
      </c>
    </row>
    <row r="25" spans="1:20" x14ac:dyDescent="0.25">
      <c r="A25" t="s">
        <v>534</v>
      </c>
      <c r="B25" t="s">
        <v>23</v>
      </c>
      <c r="C25" t="s">
        <v>38</v>
      </c>
      <c r="D25" t="s">
        <v>484</v>
      </c>
      <c r="E25" t="s">
        <v>535</v>
      </c>
      <c r="F25" t="s">
        <v>214</v>
      </c>
      <c r="G25" t="s">
        <v>127</v>
      </c>
      <c r="H25" t="s">
        <v>536</v>
      </c>
      <c r="I25" t="s">
        <v>537</v>
      </c>
      <c r="J25" t="s">
        <v>224</v>
      </c>
      <c r="K25" t="s">
        <v>223</v>
      </c>
      <c r="L25" t="s">
        <v>223</v>
      </c>
      <c r="M25" t="s">
        <v>212</v>
      </c>
      <c r="N25" t="s">
        <v>213</v>
      </c>
      <c r="O25" t="s">
        <v>28</v>
      </c>
      <c r="P25" t="s">
        <v>28</v>
      </c>
      <c r="Q25" t="s">
        <v>127</v>
      </c>
      <c r="R25" t="s">
        <v>538</v>
      </c>
      <c r="S25" t="s">
        <v>47</v>
      </c>
      <c r="T25" t="s">
        <v>539</v>
      </c>
    </row>
    <row r="26" spans="1:20" x14ac:dyDescent="0.25">
      <c r="A26" t="s">
        <v>540</v>
      </c>
      <c r="B26" t="s">
        <v>23</v>
      </c>
      <c r="C26" t="s">
        <v>24</v>
      </c>
      <c r="D26" t="s">
        <v>484</v>
      </c>
      <c r="E26" t="s">
        <v>541</v>
      </c>
      <c r="F26" t="s">
        <v>307</v>
      </c>
      <c r="G26" t="s">
        <v>56</v>
      </c>
      <c r="H26" t="s">
        <v>308</v>
      </c>
      <c r="I26" t="s">
        <v>57</v>
      </c>
      <c r="J26" t="s">
        <v>274</v>
      </c>
      <c r="K26" t="s">
        <v>237</v>
      </c>
      <c r="L26" t="s">
        <v>237</v>
      </c>
      <c r="M26" t="s">
        <v>212</v>
      </c>
      <c r="N26" t="s">
        <v>310</v>
      </c>
      <c r="O26" t="s">
        <v>28</v>
      </c>
      <c r="P26" t="s">
        <v>28</v>
      </c>
      <c r="Q26" t="s">
        <v>57</v>
      </c>
      <c r="R26" t="s">
        <v>542</v>
      </c>
      <c r="S26" t="s">
        <v>33</v>
      </c>
      <c r="T26" t="s">
        <v>543</v>
      </c>
    </row>
    <row r="27" spans="1:20" x14ac:dyDescent="0.25">
      <c r="A27" t="s">
        <v>540</v>
      </c>
      <c r="B27" t="s">
        <v>23</v>
      </c>
      <c r="C27" t="s">
        <v>24</v>
      </c>
      <c r="D27" t="s">
        <v>484</v>
      </c>
      <c r="E27" t="s">
        <v>541</v>
      </c>
      <c r="F27" t="s">
        <v>307</v>
      </c>
      <c r="G27" t="s">
        <v>56</v>
      </c>
      <c r="H27" t="s">
        <v>308</v>
      </c>
      <c r="I27" t="s">
        <v>57</v>
      </c>
      <c r="J27" t="s">
        <v>216</v>
      </c>
      <c r="K27" t="s">
        <v>217</v>
      </c>
      <c r="L27" t="s">
        <v>217</v>
      </c>
      <c r="M27" t="s">
        <v>212</v>
      </c>
      <c r="N27" t="s">
        <v>213</v>
      </c>
      <c r="O27" t="s">
        <v>28</v>
      </c>
      <c r="P27" t="s">
        <v>28</v>
      </c>
      <c r="Q27" t="s">
        <v>57</v>
      </c>
      <c r="R27" t="s">
        <v>542</v>
      </c>
      <c r="S27" t="s">
        <v>33</v>
      </c>
      <c r="T27" t="s">
        <v>543</v>
      </c>
    </row>
    <row r="28" spans="1:20" x14ac:dyDescent="0.25">
      <c r="A28" t="s">
        <v>544</v>
      </c>
      <c r="B28" t="s">
        <v>23</v>
      </c>
      <c r="C28" t="s">
        <v>24</v>
      </c>
      <c r="D28" t="s">
        <v>484</v>
      </c>
      <c r="E28" t="s">
        <v>545</v>
      </c>
      <c r="F28" t="s">
        <v>546</v>
      </c>
      <c r="G28" t="s">
        <v>547</v>
      </c>
      <c r="H28" t="s">
        <v>548</v>
      </c>
      <c r="I28" t="s">
        <v>549</v>
      </c>
      <c r="J28" t="s">
        <v>230</v>
      </c>
      <c r="K28" t="s">
        <v>221</v>
      </c>
      <c r="L28" t="s">
        <v>221</v>
      </c>
      <c r="M28" t="s">
        <v>212</v>
      </c>
      <c r="N28" t="s">
        <v>213</v>
      </c>
      <c r="O28" t="s">
        <v>28</v>
      </c>
      <c r="P28" t="s">
        <v>28</v>
      </c>
      <c r="Q28" t="s">
        <v>549</v>
      </c>
      <c r="R28" t="s">
        <v>550</v>
      </c>
      <c r="S28" t="s">
        <v>47</v>
      </c>
      <c r="T28" t="s">
        <v>551</v>
      </c>
    </row>
    <row r="29" spans="1:20" x14ac:dyDescent="0.25">
      <c r="A29" t="s">
        <v>552</v>
      </c>
      <c r="B29" t="s">
        <v>23</v>
      </c>
      <c r="C29" t="s">
        <v>24</v>
      </c>
      <c r="D29" t="s">
        <v>484</v>
      </c>
      <c r="E29" t="s">
        <v>553</v>
      </c>
      <c r="F29" t="s">
        <v>248</v>
      </c>
      <c r="G29" t="s">
        <v>99</v>
      </c>
      <c r="H29" t="s">
        <v>249</v>
      </c>
      <c r="I29" t="s">
        <v>100</v>
      </c>
      <c r="J29" t="s">
        <v>222</v>
      </c>
      <c r="K29" t="s">
        <v>237</v>
      </c>
      <c r="L29" t="s">
        <v>237</v>
      </c>
      <c r="M29" t="s">
        <v>212</v>
      </c>
      <c r="N29" t="s">
        <v>213</v>
      </c>
      <c r="O29" t="s">
        <v>43</v>
      </c>
      <c r="P29" t="s">
        <v>28</v>
      </c>
      <c r="Q29" t="s">
        <v>99</v>
      </c>
      <c r="R29" t="s">
        <v>554</v>
      </c>
      <c r="S29" t="s">
        <v>47</v>
      </c>
      <c r="T29" t="s">
        <v>555</v>
      </c>
    </row>
    <row r="30" spans="1:20" x14ac:dyDescent="0.25">
      <c r="A30" t="s">
        <v>552</v>
      </c>
      <c r="B30" t="s">
        <v>23</v>
      </c>
      <c r="C30" t="s">
        <v>24</v>
      </c>
      <c r="D30" t="s">
        <v>484</v>
      </c>
      <c r="E30" t="s">
        <v>553</v>
      </c>
      <c r="F30" t="s">
        <v>248</v>
      </c>
      <c r="G30" t="s">
        <v>99</v>
      </c>
      <c r="H30" t="s">
        <v>249</v>
      </c>
      <c r="I30" t="s">
        <v>100</v>
      </c>
      <c r="J30" t="s">
        <v>224</v>
      </c>
      <c r="K30" t="s">
        <v>237</v>
      </c>
      <c r="L30" t="s">
        <v>223</v>
      </c>
      <c r="M30" t="s">
        <v>212</v>
      </c>
      <c r="N30" t="s">
        <v>213</v>
      </c>
      <c r="O30" t="s">
        <v>43</v>
      </c>
      <c r="P30" t="s">
        <v>28</v>
      </c>
      <c r="Q30" t="s">
        <v>99</v>
      </c>
      <c r="R30" t="s">
        <v>554</v>
      </c>
      <c r="S30" t="s">
        <v>47</v>
      </c>
      <c r="T30" t="s">
        <v>555</v>
      </c>
    </row>
    <row r="31" spans="1:20" x14ac:dyDescent="0.25">
      <c r="A31" t="s">
        <v>556</v>
      </c>
      <c r="B31" t="s">
        <v>23</v>
      </c>
      <c r="C31" t="s">
        <v>24</v>
      </c>
      <c r="D31" t="s">
        <v>484</v>
      </c>
      <c r="E31" t="s">
        <v>491</v>
      </c>
      <c r="F31" t="s">
        <v>492</v>
      </c>
      <c r="G31" t="s">
        <v>493</v>
      </c>
      <c r="H31" t="s">
        <v>494</v>
      </c>
      <c r="I31" t="s">
        <v>495</v>
      </c>
      <c r="J31" t="s">
        <v>224</v>
      </c>
      <c r="K31" t="s">
        <v>223</v>
      </c>
      <c r="L31" t="s">
        <v>223</v>
      </c>
      <c r="M31" t="s">
        <v>212</v>
      </c>
      <c r="N31" t="s">
        <v>213</v>
      </c>
      <c r="O31" t="s">
        <v>28</v>
      </c>
      <c r="P31" t="s">
        <v>28</v>
      </c>
      <c r="Q31" t="s">
        <v>493</v>
      </c>
      <c r="R31" t="s">
        <v>557</v>
      </c>
      <c r="S31" t="s">
        <v>47</v>
      </c>
      <c r="T31" t="s">
        <v>558</v>
      </c>
    </row>
    <row r="32" spans="1:20" x14ac:dyDescent="0.25">
      <c r="A32" t="s">
        <v>556</v>
      </c>
      <c r="B32" t="s">
        <v>23</v>
      </c>
      <c r="C32" t="s">
        <v>24</v>
      </c>
      <c r="D32" t="s">
        <v>484</v>
      </c>
      <c r="E32" t="s">
        <v>491</v>
      </c>
      <c r="F32" t="s">
        <v>492</v>
      </c>
      <c r="G32" t="s">
        <v>493</v>
      </c>
      <c r="H32" t="s">
        <v>494</v>
      </c>
      <c r="I32" t="s">
        <v>495</v>
      </c>
      <c r="J32" t="s">
        <v>230</v>
      </c>
      <c r="K32" t="s">
        <v>255</v>
      </c>
      <c r="L32" t="s">
        <v>285</v>
      </c>
      <c r="M32" t="s">
        <v>212</v>
      </c>
      <c r="N32" t="s">
        <v>213</v>
      </c>
      <c r="O32" t="s">
        <v>28</v>
      </c>
      <c r="P32" t="s">
        <v>28</v>
      </c>
      <c r="Q32" t="s">
        <v>493</v>
      </c>
      <c r="R32" t="s">
        <v>557</v>
      </c>
      <c r="S32" t="s">
        <v>47</v>
      </c>
      <c r="T32" t="s">
        <v>558</v>
      </c>
    </row>
    <row r="33" spans="1:20" x14ac:dyDescent="0.25">
      <c r="A33" t="s">
        <v>559</v>
      </c>
      <c r="B33" t="s">
        <v>23</v>
      </c>
      <c r="C33" t="s">
        <v>24</v>
      </c>
      <c r="D33" t="s">
        <v>484</v>
      </c>
      <c r="E33" t="s">
        <v>411</v>
      </c>
      <c r="F33" t="s">
        <v>299</v>
      </c>
      <c r="G33" t="s">
        <v>97</v>
      </c>
      <c r="H33" t="s">
        <v>300</v>
      </c>
      <c r="I33" t="s">
        <v>98</v>
      </c>
      <c r="J33" t="s">
        <v>230</v>
      </c>
      <c r="K33" t="s">
        <v>285</v>
      </c>
      <c r="L33" t="s">
        <v>285</v>
      </c>
      <c r="M33" t="s">
        <v>212</v>
      </c>
      <c r="N33" t="s">
        <v>213</v>
      </c>
      <c r="O33" t="s">
        <v>28</v>
      </c>
      <c r="P33" t="s">
        <v>28</v>
      </c>
      <c r="Q33" t="s">
        <v>97</v>
      </c>
      <c r="R33" t="s">
        <v>560</v>
      </c>
      <c r="S33" t="s">
        <v>47</v>
      </c>
      <c r="T33" t="s">
        <v>561</v>
      </c>
    </row>
    <row r="34" spans="1:20" x14ac:dyDescent="0.25">
      <c r="A34" t="s">
        <v>559</v>
      </c>
      <c r="B34" t="s">
        <v>23</v>
      </c>
      <c r="C34" t="s">
        <v>24</v>
      </c>
      <c r="D34" t="s">
        <v>484</v>
      </c>
      <c r="E34" t="s">
        <v>411</v>
      </c>
      <c r="F34" t="s">
        <v>299</v>
      </c>
      <c r="G34" t="s">
        <v>97</v>
      </c>
      <c r="H34" t="s">
        <v>300</v>
      </c>
      <c r="I34" t="s">
        <v>98</v>
      </c>
      <c r="J34" t="s">
        <v>224</v>
      </c>
      <c r="K34" t="s">
        <v>223</v>
      </c>
      <c r="L34" t="s">
        <v>223</v>
      </c>
      <c r="M34" t="s">
        <v>212</v>
      </c>
      <c r="N34" t="s">
        <v>213</v>
      </c>
      <c r="O34" t="s">
        <v>28</v>
      </c>
      <c r="P34" t="s">
        <v>28</v>
      </c>
      <c r="Q34" t="s">
        <v>97</v>
      </c>
      <c r="R34" t="s">
        <v>560</v>
      </c>
      <c r="S34" t="s">
        <v>47</v>
      </c>
      <c r="T34" t="s">
        <v>561</v>
      </c>
    </row>
    <row r="35" spans="1:20" x14ac:dyDescent="0.25">
      <c r="A35" t="s">
        <v>562</v>
      </c>
      <c r="B35" t="s">
        <v>23</v>
      </c>
      <c r="C35" t="s">
        <v>38</v>
      </c>
      <c r="D35" t="s">
        <v>484</v>
      </c>
      <c r="E35" t="s">
        <v>563</v>
      </c>
      <c r="F35" t="s">
        <v>564</v>
      </c>
      <c r="G35" t="s">
        <v>565</v>
      </c>
      <c r="H35" t="s">
        <v>418</v>
      </c>
      <c r="I35" t="s">
        <v>419</v>
      </c>
      <c r="J35" t="s">
        <v>276</v>
      </c>
      <c r="K35" t="s">
        <v>254</v>
      </c>
      <c r="L35" t="s">
        <v>254</v>
      </c>
      <c r="M35" t="s">
        <v>212</v>
      </c>
      <c r="N35" t="s">
        <v>213</v>
      </c>
      <c r="O35" t="s">
        <v>28</v>
      </c>
      <c r="P35" t="s">
        <v>28</v>
      </c>
      <c r="Q35" t="s">
        <v>566</v>
      </c>
      <c r="R35" t="s">
        <v>567</v>
      </c>
      <c r="S35" t="s">
        <v>33</v>
      </c>
      <c r="T35" t="s">
        <v>568</v>
      </c>
    </row>
    <row r="36" spans="1:20" x14ac:dyDescent="0.25">
      <c r="A36" t="s">
        <v>562</v>
      </c>
      <c r="B36" t="s">
        <v>23</v>
      </c>
      <c r="C36" t="s">
        <v>38</v>
      </c>
      <c r="D36" t="s">
        <v>484</v>
      </c>
      <c r="E36" t="s">
        <v>563</v>
      </c>
      <c r="F36" t="s">
        <v>564</v>
      </c>
      <c r="G36" t="s">
        <v>565</v>
      </c>
      <c r="H36" t="s">
        <v>418</v>
      </c>
      <c r="I36" t="s">
        <v>419</v>
      </c>
      <c r="J36" t="s">
        <v>216</v>
      </c>
      <c r="K36" t="s">
        <v>236</v>
      </c>
      <c r="L36" t="s">
        <v>225</v>
      </c>
      <c r="M36" t="s">
        <v>212</v>
      </c>
      <c r="N36" t="s">
        <v>213</v>
      </c>
      <c r="O36" t="s">
        <v>28</v>
      </c>
      <c r="P36" t="s">
        <v>28</v>
      </c>
      <c r="Q36" t="s">
        <v>566</v>
      </c>
      <c r="R36" t="s">
        <v>567</v>
      </c>
      <c r="S36" t="s">
        <v>33</v>
      </c>
      <c r="T36" t="s">
        <v>568</v>
      </c>
    </row>
    <row r="37" spans="1:20" x14ac:dyDescent="0.25">
      <c r="A37" t="s">
        <v>562</v>
      </c>
      <c r="B37" t="s">
        <v>23</v>
      </c>
      <c r="C37" t="s">
        <v>38</v>
      </c>
      <c r="D37" t="s">
        <v>484</v>
      </c>
      <c r="E37" t="s">
        <v>563</v>
      </c>
      <c r="F37" t="s">
        <v>564</v>
      </c>
      <c r="G37" t="s">
        <v>565</v>
      </c>
      <c r="H37" t="s">
        <v>418</v>
      </c>
      <c r="I37" t="s">
        <v>419</v>
      </c>
      <c r="J37" t="s">
        <v>258</v>
      </c>
      <c r="K37" t="s">
        <v>240</v>
      </c>
      <c r="L37" t="s">
        <v>240</v>
      </c>
      <c r="M37" t="s">
        <v>212</v>
      </c>
      <c r="N37" t="s">
        <v>213</v>
      </c>
      <c r="O37" t="s">
        <v>28</v>
      </c>
      <c r="P37" t="s">
        <v>28</v>
      </c>
      <c r="Q37" t="s">
        <v>566</v>
      </c>
      <c r="R37" t="s">
        <v>567</v>
      </c>
      <c r="S37" t="s">
        <v>33</v>
      </c>
      <c r="T37" t="s">
        <v>568</v>
      </c>
    </row>
    <row r="38" spans="1:20" x14ac:dyDescent="0.25">
      <c r="A38" t="s">
        <v>562</v>
      </c>
      <c r="B38" t="s">
        <v>23</v>
      </c>
      <c r="C38" t="s">
        <v>38</v>
      </c>
      <c r="D38" t="s">
        <v>484</v>
      </c>
      <c r="E38" t="s">
        <v>563</v>
      </c>
      <c r="F38" t="s">
        <v>564</v>
      </c>
      <c r="G38" t="s">
        <v>565</v>
      </c>
      <c r="H38" t="s">
        <v>418</v>
      </c>
      <c r="I38" t="s">
        <v>419</v>
      </c>
      <c r="J38" t="s">
        <v>257</v>
      </c>
      <c r="K38" t="s">
        <v>240</v>
      </c>
      <c r="L38" t="s">
        <v>240</v>
      </c>
      <c r="M38" t="s">
        <v>212</v>
      </c>
      <c r="N38" t="s">
        <v>213</v>
      </c>
      <c r="O38" t="s">
        <v>28</v>
      </c>
      <c r="P38" t="s">
        <v>28</v>
      </c>
      <c r="Q38" t="s">
        <v>566</v>
      </c>
      <c r="R38" t="s">
        <v>567</v>
      </c>
      <c r="S38" t="s">
        <v>33</v>
      </c>
      <c r="T38" t="s">
        <v>568</v>
      </c>
    </row>
    <row r="39" spans="1:20" x14ac:dyDescent="0.25">
      <c r="A39" t="s">
        <v>562</v>
      </c>
      <c r="B39" t="s">
        <v>23</v>
      </c>
      <c r="C39" t="s">
        <v>38</v>
      </c>
      <c r="D39" t="s">
        <v>484</v>
      </c>
      <c r="E39" t="s">
        <v>563</v>
      </c>
      <c r="F39" t="s">
        <v>564</v>
      </c>
      <c r="G39" t="s">
        <v>565</v>
      </c>
      <c r="H39" t="s">
        <v>418</v>
      </c>
      <c r="I39" t="s">
        <v>419</v>
      </c>
      <c r="J39" t="s">
        <v>230</v>
      </c>
      <c r="K39" t="s">
        <v>221</v>
      </c>
      <c r="L39" t="s">
        <v>221</v>
      </c>
      <c r="M39" t="s">
        <v>212</v>
      </c>
      <c r="N39" t="s">
        <v>213</v>
      </c>
      <c r="O39" t="s">
        <v>28</v>
      </c>
      <c r="P39" t="s">
        <v>28</v>
      </c>
      <c r="Q39" t="s">
        <v>566</v>
      </c>
      <c r="R39" t="s">
        <v>567</v>
      </c>
      <c r="S39" t="s">
        <v>33</v>
      </c>
      <c r="T39" t="s">
        <v>568</v>
      </c>
    </row>
    <row r="40" spans="1:20" x14ac:dyDescent="0.25">
      <c r="A40" t="s">
        <v>562</v>
      </c>
      <c r="B40" t="s">
        <v>23</v>
      </c>
      <c r="C40" t="s">
        <v>38</v>
      </c>
      <c r="D40" t="s">
        <v>484</v>
      </c>
      <c r="E40" t="s">
        <v>563</v>
      </c>
      <c r="F40" t="s">
        <v>564</v>
      </c>
      <c r="G40" t="s">
        <v>565</v>
      </c>
      <c r="H40" t="s">
        <v>418</v>
      </c>
      <c r="I40" t="s">
        <v>419</v>
      </c>
      <c r="J40" t="s">
        <v>271</v>
      </c>
      <c r="K40" t="s">
        <v>223</v>
      </c>
      <c r="L40" t="s">
        <v>223</v>
      </c>
      <c r="M40" t="s">
        <v>212</v>
      </c>
      <c r="N40" t="s">
        <v>213</v>
      </c>
      <c r="O40" t="s">
        <v>28</v>
      </c>
      <c r="P40" t="s">
        <v>28</v>
      </c>
      <c r="Q40" t="s">
        <v>566</v>
      </c>
      <c r="R40" t="s">
        <v>567</v>
      </c>
      <c r="S40" t="s">
        <v>33</v>
      </c>
      <c r="T40" t="s">
        <v>568</v>
      </c>
    </row>
    <row r="41" spans="1:20" x14ac:dyDescent="0.25">
      <c r="A41" t="s">
        <v>562</v>
      </c>
      <c r="B41" t="s">
        <v>23</v>
      </c>
      <c r="C41" t="s">
        <v>38</v>
      </c>
      <c r="D41" t="s">
        <v>484</v>
      </c>
      <c r="E41" t="s">
        <v>563</v>
      </c>
      <c r="F41" t="s">
        <v>564</v>
      </c>
      <c r="G41" t="s">
        <v>565</v>
      </c>
      <c r="H41" t="s">
        <v>418</v>
      </c>
      <c r="I41" t="s">
        <v>419</v>
      </c>
      <c r="J41" t="s">
        <v>222</v>
      </c>
      <c r="K41" t="s">
        <v>237</v>
      </c>
      <c r="L41" t="s">
        <v>237</v>
      </c>
      <c r="M41" t="s">
        <v>212</v>
      </c>
      <c r="N41" t="s">
        <v>213</v>
      </c>
      <c r="O41" t="s">
        <v>28</v>
      </c>
      <c r="P41" t="s">
        <v>28</v>
      </c>
      <c r="Q41" t="s">
        <v>566</v>
      </c>
      <c r="R41" t="s">
        <v>567</v>
      </c>
      <c r="S41" t="s">
        <v>33</v>
      </c>
      <c r="T41" t="s">
        <v>568</v>
      </c>
    </row>
    <row r="42" spans="1:20" x14ac:dyDescent="0.25">
      <c r="A42" t="s">
        <v>562</v>
      </c>
      <c r="B42" t="s">
        <v>23</v>
      </c>
      <c r="C42" t="s">
        <v>38</v>
      </c>
      <c r="D42" t="s">
        <v>484</v>
      </c>
      <c r="E42" t="s">
        <v>563</v>
      </c>
      <c r="F42" t="s">
        <v>564</v>
      </c>
      <c r="G42" t="s">
        <v>565</v>
      </c>
      <c r="H42" t="s">
        <v>418</v>
      </c>
      <c r="I42" t="s">
        <v>419</v>
      </c>
      <c r="J42" t="s">
        <v>224</v>
      </c>
      <c r="K42" t="s">
        <v>223</v>
      </c>
      <c r="L42" t="s">
        <v>223</v>
      </c>
      <c r="M42" t="s">
        <v>212</v>
      </c>
      <c r="N42" t="s">
        <v>213</v>
      </c>
      <c r="O42" t="s">
        <v>28</v>
      </c>
      <c r="P42" t="s">
        <v>28</v>
      </c>
      <c r="Q42" t="s">
        <v>566</v>
      </c>
      <c r="R42" t="s">
        <v>567</v>
      </c>
      <c r="S42" t="s">
        <v>33</v>
      </c>
      <c r="T42" t="s">
        <v>568</v>
      </c>
    </row>
    <row r="43" spans="1:20" x14ac:dyDescent="0.25">
      <c r="A43" t="s">
        <v>569</v>
      </c>
      <c r="B43" t="s">
        <v>23</v>
      </c>
      <c r="C43" t="s">
        <v>38</v>
      </c>
      <c r="D43" t="s">
        <v>484</v>
      </c>
      <c r="E43" t="s">
        <v>364</v>
      </c>
      <c r="F43" t="s">
        <v>306</v>
      </c>
      <c r="G43" t="s">
        <v>73</v>
      </c>
      <c r="H43" t="s">
        <v>570</v>
      </c>
      <c r="I43" t="s">
        <v>571</v>
      </c>
      <c r="J43" t="s">
        <v>290</v>
      </c>
      <c r="K43" t="s">
        <v>239</v>
      </c>
      <c r="L43" t="s">
        <v>239</v>
      </c>
      <c r="M43" t="s">
        <v>212</v>
      </c>
      <c r="N43" t="s">
        <v>213</v>
      </c>
      <c r="O43" t="s">
        <v>28</v>
      </c>
      <c r="P43" t="s">
        <v>28</v>
      </c>
      <c r="Q43" t="s">
        <v>73</v>
      </c>
      <c r="R43" t="s">
        <v>572</v>
      </c>
      <c r="S43" t="s">
        <v>33</v>
      </c>
      <c r="T43" t="s">
        <v>573</v>
      </c>
    </row>
    <row r="44" spans="1:20" x14ac:dyDescent="0.25">
      <c r="A44" t="s">
        <v>569</v>
      </c>
      <c r="B44" t="s">
        <v>23</v>
      </c>
      <c r="C44" t="s">
        <v>38</v>
      </c>
      <c r="D44" t="s">
        <v>484</v>
      </c>
      <c r="E44" t="s">
        <v>364</v>
      </c>
      <c r="F44" t="s">
        <v>306</v>
      </c>
      <c r="G44" t="s">
        <v>73</v>
      </c>
      <c r="H44" t="s">
        <v>570</v>
      </c>
      <c r="I44" t="s">
        <v>571</v>
      </c>
      <c r="J44" t="s">
        <v>275</v>
      </c>
      <c r="K44" t="s">
        <v>219</v>
      </c>
      <c r="L44" t="s">
        <v>219</v>
      </c>
      <c r="M44" t="s">
        <v>212</v>
      </c>
      <c r="N44" t="s">
        <v>213</v>
      </c>
      <c r="O44" t="s">
        <v>28</v>
      </c>
      <c r="P44" t="s">
        <v>28</v>
      </c>
      <c r="Q44" t="s">
        <v>73</v>
      </c>
      <c r="R44" t="s">
        <v>572</v>
      </c>
      <c r="S44" t="s">
        <v>33</v>
      </c>
      <c r="T44" t="s">
        <v>573</v>
      </c>
    </row>
    <row r="45" spans="1:20" x14ac:dyDescent="0.25">
      <c r="A45" t="s">
        <v>574</v>
      </c>
      <c r="B45" t="s">
        <v>23</v>
      </c>
      <c r="C45" t="s">
        <v>24</v>
      </c>
      <c r="D45" t="s">
        <v>484</v>
      </c>
      <c r="E45" t="s">
        <v>234</v>
      </c>
      <c r="F45" t="s">
        <v>235</v>
      </c>
      <c r="G45" t="s">
        <v>122</v>
      </c>
      <c r="H45" t="s">
        <v>391</v>
      </c>
      <c r="I45" t="s">
        <v>392</v>
      </c>
      <c r="J45" t="s">
        <v>262</v>
      </c>
      <c r="K45" t="s">
        <v>225</v>
      </c>
      <c r="L45" t="s">
        <v>225</v>
      </c>
      <c r="M45" t="s">
        <v>212</v>
      </c>
      <c r="N45" t="s">
        <v>213</v>
      </c>
      <c r="O45" t="s">
        <v>28</v>
      </c>
      <c r="P45" t="s">
        <v>28</v>
      </c>
      <c r="Q45" t="s">
        <v>121</v>
      </c>
      <c r="R45" t="s">
        <v>575</v>
      </c>
      <c r="S45" t="s">
        <v>47</v>
      </c>
      <c r="T45" t="s">
        <v>576</v>
      </c>
    </row>
    <row r="46" spans="1:20" x14ac:dyDescent="0.25">
      <c r="A46" t="s">
        <v>577</v>
      </c>
      <c r="B46" t="s">
        <v>23</v>
      </c>
      <c r="C46" t="s">
        <v>24</v>
      </c>
      <c r="D46" t="s">
        <v>578</v>
      </c>
      <c r="E46" t="s">
        <v>579</v>
      </c>
      <c r="F46" t="s">
        <v>580</v>
      </c>
      <c r="G46" t="s">
        <v>581</v>
      </c>
      <c r="H46" t="s">
        <v>582</v>
      </c>
      <c r="I46" t="s">
        <v>583</v>
      </c>
      <c r="J46" t="s">
        <v>230</v>
      </c>
      <c r="K46" t="s">
        <v>584</v>
      </c>
      <c r="L46" t="s">
        <v>584</v>
      </c>
      <c r="M46" t="s">
        <v>212</v>
      </c>
      <c r="N46" t="s">
        <v>213</v>
      </c>
      <c r="O46" t="s">
        <v>28</v>
      </c>
      <c r="P46" t="s">
        <v>28</v>
      </c>
      <c r="Q46" t="s">
        <v>583</v>
      </c>
      <c r="R46" t="s">
        <v>585</v>
      </c>
      <c r="S46" t="s">
        <v>47</v>
      </c>
      <c r="T46" t="s">
        <v>586</v>
      </c>
    </row>
    <row r="47" spans="1:20" x14ac:dyDescent="0.25">
      <c r="A47" t="s">
        <v>577</v>
      </c>
      <c r="B47" t="s">
        <v>23</v>
      </c>
      <c r="C47" t="s">
        <v>24</v>
      </c>
      <c r="D47" t="s">
        <v>578</v>
      </c>
      <c r="E47" t="s">
        <v>579</v>
      </c>
      <c r="F47" t="s">
        <v>580</v>
      </c>
      <c r="G47" t="s">
        <v>581</v>
      </c>
      <c r="H47" t="s">
        <v>582</v>
      </c>
      <c r="I47" t="s">
        <v>583</v>
      </c>
      <c r="J47" t="s">
        <v>216</v>
      </c>
      <c r="K47" t="s">
        <v>236</v>
      </c>
      <c r="L47" t="s">
        <v>236</v>
      </c>
      <c r="M47" t="s">
        <v>212</v>
      </c>
      <c r="N47" t="s">
        <v>213</v>
      </c>
      <c r="O47" t="s">
        <v>28</v>
      </c>
      <c r="P47" t="s">
        <v>28</v>
      </c>
      <c r="Q47" t="s">
        <v>583</v>
      </c>
      <c r="R47" t="s">
        <v>585</v>
      </c>
      <c r="S47" t="s">
        <v>47</v>
      </c>
      <c r="T47" t="s">
        <v>586</v>
      </c>
    </row>
    <row r="48" spans="1:20" x14ac:dyDescent="0.25">
      <c r="A48" t="s">
        <v>577</v>
      </c>
      <c r="B48" t="s">
        <v>23</v>
      </c>
      <c r="C48" t="s">
        <v>24</v>
      </c>
      <c r="D48" t="s">
        <v>578</v>
      </c>
      <c r="E48" t="s">
        <v>579</v>
      </c>
      <c r="F48" t="s">
        <v>580</v>
      </c>
      <c r="G48" t="s">
        <v>581</v>
      </c>
      <c r="H48" t="s">
        <v>582</v>
      </c>
      <c r="I48" t="s">
        <v>583</v>
      </c>
      <c r="J48" t="s">
        <v>257</v>
      </c>
      <c r="K48" t="s">
        <v>280</v>
      </c>
      <c r="L48" t="s">
        <v>280</v>
      </c>
      <c r="M48" t="s">
        <v>212</v>
      </c>
      <c r="N48" t="s">
        <v>213</v>
      </c>
      <c r="O48" t="s">
        <v>28</v>
      </c>
      <c r="P48" t="s">
        <v>28</v>
      </c>
      <c r="Q48" t="s">
        <v>583</v>
      </c>
      <c r="R48" t="s">
        <v>585</v>
      </c>
      <c r="S48" t="s">
        <v>47</v>
      </c>
      <c r="T48" t="s">
        <v>586</v>
      </c>
    </row>
    <row r="49" spans="1:20" x14ac:dyDescent="0.25">
      <c r="A49" t="s">
        <v>587</v>
      </c>
      <c r="B49" t="s">
        <v>23</v>
      </c>
      <c r="C49" t="s">
        <v>37</v>
      </c>
      <c r="D49" t="s">
        <v>578</v>
      </c>
      <c r="E49" t="s">
        <v>588</v>
      </c>
      <c r="F49" t="s">
        <v>333</v>
      </c>
      <c r="G49" t="s">
        <v>144</v>
      </c>
      <c r="H49" t="s">
        <v>334</v>
      </c>
      <c r="I49" t="s">
        <v>145</v>
      </c>
      <c r="J49" t="s">
        <v>589</v>
      </c>
      <c r="K49" t="s">
        <v>217</v>
      </c>
      <c r="L49" t="s">
        <v>217</v>
      </c>
      <c r="M49" t="s">
        <v>212</v>
      </c>
      <c r="N49" t="s">
        <v>213</v>
      </c>
      <c r="O49" t="s">
        <v>43</v>
      </c>
      <c r="P49" t="s">
        <v>28</v>
      </c>
      <c r="Q49" t="s">
        <v>145</v>
      </c>
      <c r="R49" t="s">
        <v>590</v>
      </c>
      <c r="S49" t="s">
        <v>47</v>
      </c>
      <c r="T49" t="s">
        <v>591</v>
      </c>
    </row>
    <row r="50" spans="1:20" x14ac:dyDescent="0.25">
      <c r="A50" t="s">
        <v>587</v>
      </c>
      <c r="B50" t="s">
        <v>23</v>
      </c>
      <c r="C50" t="s">
        <v>37</v>
      </c>
      <c r="D50" t="s">
        <v>578</v>
      </c>
      <c r="E50" t="s">
        <v>588</v>
      </c>
      <c r="F50" t="s">
        <v>333</v>
      </c>
      <c r="G50" t="s">
        <v>144</v>
      </c>
      <c r="H50" t="s">
        <v>334</v>
      </c>
      <c r="I50" t="s">
        <v>145</v>
      </c>
      <c r="J50" t="s">
        <v>210</v>
      </c>
      <c r="K50" t="s">
        <v>240</v>
      </c>
      <c r="L50" t="s">
        <v>240</v>
      </c>
      <c r="M50" t="s">
        <v>212</v>
      </c>
      <c r="N50" t="s">
        <v>213</v>
      </c>
      <c r="O50" t="s">
        <v>43</v>
      </c>
      <c r="P50" t="s">
        <v>28</v>
      </c>
      <c r="Q50" t="s">
        <v>145</v>
      </c>
      <c r="R50" t="s">
        <v>590</v>
      </c>
      <c r="S50" t="s">
        <v>47</v>
      </c>
      <c r="T50" t="s">
        <v>591</v>
      </c>
    </row>
    <row r="51" spans="1:20" x14ac:dyDescent="0.25">
      <c r="A51" t="s">
        <v>587</v>
      </c>
      <c r="B51" t="s">
        <v>23</v>
      </c>
      <c r="C51" t="s">
        <v>37</v>
      </c>
      <c r="D51" t="s">
        <v>578</v>
      </c>
      <c r="E51" t="s">
        <v>588</v>
      </c>
      <c r="F51" t="s">
        <v>333</v>
      </c>
      <c r="G51" t="s">
        <v>144</v>
      </c>
      <c r="H51" t="s">
        <v>334</v>
      </c>
      <c r="I51" t="s">
        <v>145</v>
      </c>
      <c r="J51" t="s">
        <v>290</v>
      </c>
      <c r="K51" t="s">
        <v>239</v>
      </c>
      <c r="L51" t="s">
        <v>239</v>
      </c>
      <c r="M51" t="s">
        <v>212</v>
      </c>
      <c r="N51" t="s">
        <v>213</v>
      </c>
      <c r="O51" t="s">
        <v>43</v>
      </c>
      <c r="P51" t="s">
        <v>28</v>
      </c>
      <c r="Q51" t="s">
        <v>145</v>
      </c>
      <c r="R51" t="s">
        <v>590</v>
      </c>
      <c r="S51" t="s">
        <v>47</v>
      </c>
      <c r="T51" t="s">
        <v>591</v>
      </c>
    </row>
    <row r="52" spans="1:20" x14ac:dyDescent="0.25">
      <c r="A52" t="s">
        <v>587</v>
      </c>
      <c r="B52" t="s">
        <v>23</v>
      </c>
      <c r="C52" t="s">
        <v>37</v>
      </c>
      <c r="D52" t="s">
        <v>578</v>
      </c>
      <c r="E52" t="s">
        <v>588</v>
      </c>
      <c r="F52" t="s">
        <v>333</v>
      </c>
      <c r="G52" t="s">
        <v>144</v>
      </c>
      <c r="H52" t="s">
        <v>334</v>
      </c>
      <c r="I52" t="s">
        <v>145</v>
      </c>
      <c r="J52" t="s">
        <v>245</v>
      </c>
      <c r="K52" t="s">
        <v>239</v>
      </c>
      <c r="L52" t="s">
        <v>239</v>
      </c>
      <c r="M52" t="s">
        <v>212</v>
      </c>
      <c r="N52" t="s">
        <v>213</v>
      </c>
      <c r="O52" t="s">
        <v>43</v>
      </c>
      <c r="P52" t="s">
        <v>28</v>
      </c>
      <c r="Q52" t="s">
        <v>145</v>
      </c>
      <c r="R52" t="s">
        <v>590</v>
      </c>
      <c r="S52" t="s">
        <v>47</v>
      </c>
      <c r="T52" t="s">
        <v>591</v>
      </c>
    </row>
    <row r="53" spans="1:20" x14ac:dyDescent="0.25">
      <c r="A53" t="s">
        <v>592</v>
      </c>
      <c r="B53" t="s">
        <v>23</v>
      </c>
      <c r="C53" t="s">
        <v>24</v>
      </c>
      <c r="D53" t="s">
        <v>578</v>
      </c>
      <c r="E53" t="s">
        <v>593</v>
      </c>
      <c r="F53" t="s">
        <v>594</v>
      </c>
      <c r="G53" t="s">
        <v>595</v>
      </c>
      <c r="H53" t="s">
        <v>596</v>
      </c>
      <c r="I53" t="s">
        <v>597</v>
      </c>
      <c r="J53" t="s">
        <v>598</v>
      </c>
      <c r="K53" t="s">
        <v>285</v>
      </c>
      <c r="L53" t="s">
        <v>285</v>
      </c>
      <c r="M53" t="s">
        <v>212</v>
      </c>
      <c r="N53" t="s">
        <v>213</v>
      </c>
      <c r="O53" t="s">
        <v>43</v>
      </c>
      <c r="P53" t="s">
        <v>28</v>
      </c>
      <c r="Q53" t="s">
        <v>599</v>
      </c>
      <c r="R53" t="s">
        <v>600</v>
      </c>
      <c r="S53" t="s">
        <v>47</v>
      </c>
      <c r="T53" t="s">
        <v>601</v>
      </c>
    </row>
    <row r="54" spans="1:20" x14ac:dyDescent="0.25">
      <c r="A54" t="s">
        <v>602</v>
      </c>
      <c r="B54" t="s">
        <v>23</v>
      </c>
      <c r="C54" t="s">
        <v>24</v>
      </c>
      <c r="D54" t="s">
        <v>578</v>
      </c>
      <c r="E54" t="s">
        <v>406</v>
      </c>
      <c r="F54" t="s">
        <v>282</v>
      </c>
      <c r="G54" t="s">
        <v>129</v>
      </c>
      <c r="H54" t="s">
        <v>283</v>
      </c>
      <c r="I54" t="s">
        <v>130</v>
      </c>
      <c r="J54" t="s">
        <v>224</v>
      </c>
      <c r="K54" t="s">
        <v>237</v>
      </c>
      <c r="L54" t="s">
        <v>237</v>
      </c>
      <c r="M54" t="s">
        <v>212</v>
      </c>
      <c r="N54" t="s">
        <v>213</v>
      </c>
      <c r="O54" t="s">
        <v>28</v>
      </c>
      <c r="P54" t="s">
        <v>28</v>
      </c>
      <c r="Q54" t="s">
        <v>129</v>
      </c>
      <c r="R54" t="s">
        <v>603</v>
      </c>
      <c r="S54" t="s">
        <v>47</v>
      </c>
      <c r="T54" t="s">
        <v>604</v>
      </c>
    </row>
    <row r="55" spans="1:20" x14ac:dyDescent="0.25">
      <c r="A55" t="s">
        <v>602</v>
      </c>
      <c r="B55" t="s">
        <v>23</v>
      </c>
      <c r="C55" t="s">
        <v>24</v>
      </c>
      <c r="D55" t="s">
        <v>578</v>
      </c>
      <c r="E55" t="s">
        <v>406</v>
      </c>
      <c r="F55" t="s">
        <v>282</v>
      </c>
      <c r="G55" t="s">
        <v>129</v>
      </c>
      <c r="H55" t="s">
        <v>283</v>
      </c>
      <c r="I55" t="s">
        <v>130</v>
      </c>
      <c r="J55" t="s">
        <v>230</v>
      </c>
      <c r="K55" t="s">
        <v>239</v>
      </c>
      <c r="L55" t="s">
        <v>239</v>
      </c>
      <c r="M55" t="s">
        <v>212</v>
      </c>
      <c r="N55" t="s">
        <v>213</v>
      </c>
      <c r="O55" t="s">
        <v>28</v>
      </c>
      <c r="P55" t="s">
        <v>28</v>
      </c>
      <c r="Q55" t="s">
        <v>129</v>
      </c>
      <c r="R55" t="s">
        <v>603</v>
      </c>
      <c r="S55" t="s">
        <v>47</v>
      </c>
      <c r="T55" t="s">
        <v>604</v>
      </c>
    </row>
    <row r="56" spans="1:20" x14ac:dyDescent="0.25">
      <c r="A56" t="s">
        <v>605</v>
      </c>
      <c r="B56" t="s">
        <v>23</v>
      </c>
      <c r="C56" t="s">
        <v>24</v>
      </c>
      <c r="D56" t="s">
        <v>578</v>
      </c>
      <c r="E56" t="s">
        <v>606</v>
      </c>
      <c r="F56" t="s">
        <v>607</v>
      </c>
      <c r="G56" t="s">
        <v>608</v>
      </c>
      <c r="H56" t="s">
        <v>609</v>
      </c>
      <c r="I56" t="s">
        <v>610</v>
      </c>
      <c r="J56" t="s">
        <v>611</v>
      </c>
      <c r="K56" t="s">
        <v>237</v>
      </c>
      <c r="L56" t="s">
        <v>237</v>
      </c>
      <c r="M56" t="s">
        <v>212</v>
      </c>
      <c r="N56" t="s">
        <v>213</v>
      </c>
      <c r="O56" t="s">
        <v>28</v>
      </c>
      <c r="P56" t="s">
        <v>28</v>
      </c>
      <c r="Q56" t="s">
        <v>610</v>
      </c>
      <c r="R56" t="s">
        <v>612</v>
      </c>
      <c r="S56" t="s">
        <v>47</v>
      </c>
      <c r="T56" t="s">
        <v>613</v>
      </c>
    </row>
    <row r="57" spans="1:20" x14ac:dyDescent="0.25">
      <c r="A57" t="s">
        <v>605</v>
      </c>
      <c r="B57" t="s">
        <v>23</v>
      </c>
      <c r="C57" t="s">
        <v>24</v>
      </c>
      <c r="D57" t="s">
        <v>578</v>
      </c>
      <c r="E57" t="s">
        <v>606</v>
      </c>
      <c r="F57" t="s">
        <v>607</v>
      </c>
      <c r="G57" t="s">
        <v>608</v>
      </c>
      <c r="H57" t="s">
        <v>609</v>
      </c>
      <c r="I57" t="s">
        <v>610</v>
      </c>
      <c r="J57" t="s">
        <v>216</v>
      </c>
      <c r="K57" t="s">
        <v>217</v>
      </c>
      <c r="L57" t="s">
        <v>225</v>
      </c>
      <c r="M57" t="s">
        <v>212</v>
      </c>
      <c r="N57" t="s">
        <v>213</v>
      </c>
      <c r="O57" t="s">
        <v>28</v>
      </c>
      <c r="P57" t="s">
        <v>28</v>
      </c>
      <c r="Q57" t="s">
        <v>610</v>
      </c>
      <c r="R57" t="s">
        <v>612</v>
      </c>
      <c r="S57" t="s">
        <v>47</v>
      </c>
      <c r="T57" t="s">
        <v>613</v>
      </c>
    </row>
    <row r="58" spans="1:20" x14ac:dyDescent="0.25">
      <c r="A58" t="s">
        <v>605</v>
      </c>
      <c r="B58" t="s">
        <v>23</v>
      </c>
      <c r="C58" t="s">
        <v>24</v>
      </c>
      <c r="D58" t="s">
        <v>578</v>
      </c>
      <c r="E58" t="s">
        <v>606</v>
      </c>
      <c r="F58" t="s">
        <v>607</v>
      </c>
      <c r="G58" t="s">
        <v>608</v>
      </c>
      <c r="H58" t="s">
        <v>609</v>
      </c>
      <c r="I58" t="s">
        <v>610</v>
      </c>
      <c r="J58" t="s">
        <v>230</v>
      </c>
      <c r="K58" t="s">
        <v>221</v>
      </c>
      <c r="L58" t="s">
        <v>221</v>
      </c>
      <c r="M58" t="s">
        <v>212</v>
      </c>
      <c r="N58" t="s">
        <v>213</v>
      </c>
      <c r="O58" t="s">
        <v>28</v>
      </c>
      <c r="P58" t="s">
        <v>28</v>
      </c>
      <c r="Q58" t="s">
        <v>610</v>
      </c>
      <c r="R58" t="s">
        <v>612</v>
      </c>
      <c r="S58" t="s">
        <v>47</v>
      </c>
      <c r="T58" t="s">
        <v>613</v>
      </c>
    </row>
    <row r="59" spans="1:20" x14ac:dyDescent="0.25">
      <c r="A59" t="s">
        <v>605</v>
      </c>
      <c r="B59" t="s">
        <v>23</v>
      </c>
      <c r="C59" t="s">
        <v>24</v>
      </c>
      <c r="D59" t="s">
        <v>578</v>
      </c>
      <c r="E59" t="s">
        <v>606</v>
      </c>
      <c r="F59" t="s">
        <v>607</v>
      </c>
      <c r="G59" t="s">
        <v>608</v>
      </c>
      <c r="H59" t="s">
        <v>609</v>
      </c>
      <c r="I59" t="s">
        <v>610</v>
      </c>
      <c r="J59" t="s">
        <v>224</v>
      </c>
      <c r="K59" t="s">
        <v>223</v>
      </c>
      <c r="L59" t="s">
        <v>223</v>
      </c>
      <c r="M59" t="s">
        <v>212</v>
      </c>
      <c r="N59" t="s">
        <v>213</v>
      </c>
      <c r="O59" t="s">
        <v>28</v>
      </c>
      <c r="P59" t="s">
        <v>28</v>
      </c>
      <c r="Q59" t="s">
        <v>610</v>
      </c>
      <c r="R59" t="s">
        <v>612</v>
      </c>
      <c r="S59" t="s">
        <v>47</v>
      </c>
      <c r="T59" t="s">
        <v>613</v>
      </c>
    </row>
    <row r="60" spans="1:20" x14ac:dyDescent="0.25">
      <c r="A60" t="s">
        <v>614</v>
      </c>
      <c r="B60" t="s">
        <v>23</v>
      </c>
      <c r="C60" t="s">
        <v>24</v>
      </c>
      <c r="D60" t="s">
        <v>578</v>
      </c>
      <c r="E60" t="s">
        <v>151</v>
      </c>
      <c r="F60" t="s">
        <v>325</v>
      </c>
      <c r="G60" t="s">
        <v>152</v>
      </c>
      <c r="H60" t="s">
        <v>326</v>
      </c>
      <c r="I60" t="s">
        <v>153</v>
      </c>
      <c r="J60" t="s">
        <v>230</v>
      </c>
      <c r="K60" t="s">
        <v>221</v>
      </c>
      <c r="L60" t="s">
        <v>285</v>
      </c>
      <c r="M60" t="s">
        <v>212</v>
      </c>
      <c r="N60" t="s">
        <v>213</v>
      </c>
      <c r="O60" t="s">
        <v>28</v>
      </c>
      <c r="P60" t="s">
        <v>28</v>
      </c>
      <c r="Q60" t="s">
        <v>152</v>
      </c>
      <c r="R60" t="s">
        <v>615</v>
      </c>
      <c r="S60" t="s">
        <v>47</v>
      </c>
      <c r="T60" t="s">
        <v>616</v>
      </c>
    </row>
    <row r="61" spans="1:20" x14ac:dyDescent="0.25">
      <c r="A61" t="s">
        <v>614</v>
      </c>
      <c r="B61" t="s">
        <v>23</v>
      </c>
      <c r="C61" t="s">
        <v>24</v>
      </c>
      <c r="D61" t="s">
        <v>578</v>
      </c>
      <c r="E61" t="s">
        <v>151</v>
      </c>
      <c r="F61" t="s">
        <v>325</v>
      </c>
      <c r="G61" t="s">
        <v>152</v>
      </c>
      <c r="H61" t="s">
        <v>326</v>
      </c>
      <c r="I61" t="s">
        <v>153</v>
      </c>
      <c r="J61" t="s">
        <v>222</v>
      </c>
      <c r="K61" t="s">
        <v>237</v>
      </c>
      <c r="L61" t="s">
        <v>237</v>
      </c>
      <c r="M61" t="s">
        <v>212</v>
      </c>
      <c r="N61" t="s">
        <v>213</v>
      </c>
      <c r="O61" t="s">
        <v>28</v>
      </c>
      <c r="P61" t="s">
        <v>28</v>
      </c>
      <c r="Q61" t="s">
        <v>152</v>
      </c>
      <c r="R61" t="s">
        <v>615</v>
      </c>
      <c r="S61" t="s">
        <v>47</v>
      </c>
      <c r="T61" t="s">
        <v>616</v>
      </c>
    </row>
    <row r="62" spans="1:20" x14ac:dyDescent="0.25">
      <c r="A62" t="s">
        <v>614</v>
      </c>
      <c r="B62" t="s">
        <v>23</v>
      </c>
      <c r="C62" t="s">
        <v>24</v>
      </c>
      <c r="D62" t="s">
        <v>578</v>
      </c>
      <c r="E62" t="s">
        <v>151</v>
      </c>
      <c r="F62" t="s">
        <v>325</v>
      </c>
      <c r="G62" t="s">
        <v>152</v>
      </c>
      <c r="H62" t="s">
        <v>326</v>
      </c>
      <c r="I62" t="s">
        <v>153</v>
      </c>
      <c r="J62" t="s">
        <v>216</v>
      </c>
      <c r="K62" t="s">
        <v>217</v>
      </c>
      <c r="L62" t="s">
        <v>225</v>
      </c>
      <c r="M62" t="s">
        <v>212</v>
      </c>
      <c r="N62" t="s">
        <v>213</v>
      </c>
      <c r="O62" t="s">
        <v>28</v>
      </c>
      <c r="P62" t="s">
        <v>28</v>
      </c>
      <c r="Q62" t="s">
        <v>152</v>
      </c>
      <c r="R62" t="s">
        <v>615</v>
      </c>
      <c r="S62" t="s">
        <v>47</v>
      </c>
      <c r="T62" t="s">
        <v>616</v>
      </c>
    </row>
    <row r="63" spans="1:20" x14ac:dyDescent="0.25">
      <c r="A63" t="s">
        <v>617</v>
      </c>
      <c r="B63" t="s">
        <v>23</v>
      </c>
      <c r="C63" t="s">
        <v>24</v>
      </c>
      <c r="D63" t="s">
        <v>578</v>
      </c>
      <c r="E63" t="s">
        <v>266</v>
      </c>
      <c r="F63" t="s">
        <v>267</v>
      </c>
      <c r="G63" t="s">
        <v>85</v>
      </c>
      <c r="H63" t="s">
        <v>268</v>
      </c>
      <c r="I63" t="s">
        <v>86</v>
      </c>
      <c r="J63" t="s">
        <v>230</v>
      </c>
      <c r="K63" t="s">
        <v>285</v>
      </c>
      <c r="L63" t="s">
        <v>285</v>
      </c>
      <c r="M63" t="s">
        <v>212</v>
      </c>
      <c r="N63" t="s">
        <v>213</v>
      </c>
      <c r="O63" t="s">
        <v>43</v>
      </c>
      <c r="P63" t="s">
        <v>28</v>
      </c>
      <c r="Q63" t="s">
        <v>85</v>
      </c>
      <c r="R63" t="s">
        <v>618</v>
      </c>
      <c r="S63" t="s">
        <v>47</v>
      </c>
      <c r="T63" t="s">
        <v>619</v>
      </c>
    </row>
    <row r="64" spans="1:20" x14ac:dyDescent="0.25">
      <c r="A64" t="s">
        <v>617</v>
      </c>
      <c r="B64" t="s">
        <v>23</v>
      </c>
      <c r="C64" t="s">
        <v>24</v>
      </c>
      <c r="D64" t="s">
        <v>578</v>
      </c>
      <c r="E64" t="s">
        <v>266</v>
      </c>
      <c r="F64" t="s">
        <v>267</v>
      </c>
      <c r="G64" t="s">
        <v>85</v>
      </c>
      <c r="H64" t="s">
        <v>268</v>
      </c>
      <c r="I64" t="s">
        <v>86</v>
      </c>
      <c r="J64" t="s">
        <v>222</v>
      </c>
      <c r="K64" t="s">
        <v>237</v>
      </c>
      <c r="L64" t="s">
        <v>237</v>
      </c>
      <c r="M64" t="s">
        <v>212</v>
      </c>
      <c r="N64" t="s">
        <v>213</v>
      </c>
      <c r="O64" t="s">
        <v>43</v>
      </c>
      <c r="P64" t="s">
        <v>28</v>
      </c>
      <c r="Q64" t="s">
        <v>85</v>
      </c>
      <c r="R64" t="s">
        <v>618</v>
      </c>
      <c r="S64" t="s">
        <v>47</v>
      </c>
      <c r="T64" t="s">
        <v>619</v>
      </c>
    </row>
    <row r="65" spans="1:20" x14ac:dyDescent="0.25">
      <c r="A65" t="s">
        <v>617</v>
      </c>
      <c r="B65" t="s">
        <v>23</v>
      </c>
      <c r="C65" t="s">
        <v>24</v>
      </c>
      <c r="D65" t="s">
        <v>578</v>
      </c>
      <c r="E65" t="s">
        <v>266</v>
      </c>
      <c r="F65" t="s">
        <v>267</v>
      </c>
      <c r="G65" t="s">
        <v>85</v>
      </c>
      <c r="H65" t="s">
        <v>268</v>
      </c>
      <c r="I65" t="s">
        <v>86</v>
      </c>
      <c r="J65" t="s">
        <v>224</v>
      </c>
      <c r="K65" t="s">
        <v>223</v>
      </c>
      <c r="L65" t="s">
        <v>223</v>
      </c>
      <c r="M65" t="s">
        <v>212</v>
      </c>
      <c r="N65" t="s">
        <v>213</v>
      </c>
      <c r="O65" t="s">
        <v>43</v>
      </c>
      <c r="P65" t="s">
        <v>28</v>
      </c>
      <c r="Q65" t="s">
        <v>85</v>
      </c>
      <c r="R65" t="s">
        <v>618</v>
      </c>
      <c r="S65" t="s">
        <v>47</v>
      </c>
      <c r="T65" t="s">
        <v>619</v>
      </c>
    </row>
    <row r="66" spans="1:20" x14ac:dyDescent="0.25">
      <c r="A66" t="s">
        <v>620</v>
      </c>
      <c r="B66" t="s">
        <v>23</v>
      </c>
      <c r="C66" t="s">
        <v>24</v>
      </c>
      <c r="D66" t="s">
        <v>578</v>
      </c>
      <c r="E66" t="s">
        <v>5</v>
      </c>
      <c r="F66" t="s">
        <v>314</v>
      </c>
      <c r="G66" t="s">
        <v>31</v>
      </c>
      <c r="H66" t="s">
        <v>315</v>
      </c>
      <c r="I66" t="s">
        <v>32</v>
      </c>
      <c r="J66" t="s">
        <v>312</v>
      </c>
      <c r="K66" t="s">
        <v>239</v>
      </c>
      <c r="L66" t="s">
        <v>239</v>
      </c>
      <c r="M66" t="s">
        <v>212</v>
      </c>
      <c r="N66" t="s">
        <v>213</v>
      </c>
      <c r="O66" t="s">
        <v>28</v>
      </c>
      <c r="P66" t="s">
        <v>28</v>
      </c>
      <c r="Q66" t="s">
        <v>621</v>
      </c>
      <c r="R66" t="s">
        <v>622</v>
      </c>
      <c r="S66" t="s">
        <v>33</v>
      </c>
      <c r="T66" t="s">
        <v>623</v>
      </c>
    </row>
    <row r="67" spans="1:20" x14ac:dyDescent="0.25">
      <c r="A67" t="s">
        <v>620</v>
      </c>
      <c r="B67" t="s">
        <v>23</v>
      </c>
      <c r="C67" t="s">
        <v>24</v>
      </c>
      <c r="D67" t="s">
        <v>578</v>
      </c>
      <c r="E67" t="s">
        <v>5</v>
      </c>
      <c r="F67" t="s">
        <v>314</v>
      </c>
      <c r="G67" t="s">
        <v>31</v>
      </c>
      <c r="H67" t="s">
        <v>315</v>
      </c>
      <c r="I67" t="s">
        <v>32</v>
      </c>
      <c r="J67" t="s">
        <v>222</v>
      </c>
      <c r="K67" t="s">
        <v>237</v>
      </c>
      <c r="L67" t="s">
        <v>237</v>
      </c>
      <c r="M67" t="s">
        <v>212</v>
      </c>
      <c r="N67" t="s">
        <v>213</v>
      </c>
      <c r="O67" t="s">
        <v>28</v>
      </c>
      <c r="P67" t="s">
        <v>28</v>
      </c>
      <c r="Q67" t="s">
        <v>621</v>
      </c>
      <c r="R67" t="s">
        <v>622</v>
      </c>
      <c r="S67" t="s">
        <v>33</v>
      </c>
      <c r="T67" t="s">
        <v>623</v>
      </c>
    </row>
    <row r="68" spans="1:20" x14ac:dyDescent="0.25">
      <c r="A68" t="s">
        <v>620</v>
      </c>
      <c r="B68" t="s">
        <v>23</v>
      </c>
      <c r="C68" t="s">
        <v>24</v>
      </c>
      <c r="D68" t="s">
        <v>578</v>
      </c>
      <c r="E68" t="s">
        <v>5</v>
      </c>
      <c r="F68" t="s">
        <v>314</v>
      </c>
      <c r="G68" t="s">
        <v>31</v>
      </c>
      <c r="H68" t="s">
        <v>315</v>
      </c>
      <c r="I68" t="s">
        <v>32</v>
      </c>
      <c r="J68" t="s">
        <v>216</v>
      </c>
      <c r="K68" t="s">
        <v>217</v>
      </c>
      <c r="L68" t="s">
        <v>217</v>
      </c>
      <c r="M68" t="s">
        <v>212</v>
      </c>
      <c r="N68" t="s">
        <v>213</v>
      </c>
      <c r="O68" t="s">
        <v>28</v>
      </c>
      <c r="P68" t="s">
        <v>28</v>
      </c>
      <c r="Q68" t="s">
        <v>621</v>
      </c>
      <c r="R68" t="s">
        <v>622</v>
      </c>
      <c r="S68" t="s">
        <v>33</v>
      </c>
      <c r="T68" t="s">
        <v>623</v>
      </c>
    </row>
    <row r="69" spans="1:20" x14ac:dyDescent="0.25">
      <c r="A69" t="s">
        <v>624</v>
      </c>
      <c r="B69" t="s">
        <v>23</v>
      </c>
      <c r="C69" t="s">
        <v>24</v>
      </c>
      <c r="D69" t="s">
        <v>578</v>
      </c>
      <c r="E69" t="s">
        <v>421</v>
      </c>
      <c r="F69" t="s">
        <v>422</v>
      </c>
      <c r="G69" t="s">
        <v>423</v>
      </c>
      <c r="H69" t="s">
        <v>625</v>
      </c>
      <c r="I69" t="s">
        <v>131</v>
      </c>
      <c r="J69" t="s">
        <v>222</v>
      </c>
      <c r="K69" t="s">
        <v>237</v>
      </c>
      <c r="L69" t="s">
        <v>223</v>
      </c>
      <c r="M69" t="s">
        <v>212</v>
      </c>
      <c r="N69" t="s">
        <v>213</v>
      </c>
      <c r="O69" t="s">
        <v>28</v>
      </c>
      <c r="P69" t="s">
        <v>28</v>
      </c>
      <c r="Q69" t="s">
        <v>423</v>
      </c>
      <c r="R69" t="s">
        <v>626</v>
      </c>
      <c r="S69" t="s">
        <v>33</v>
      </c>
      <c r="T69" t="s">
        <v>627</v>
      </c>
    </row>
    <row r="70" spans="1:20" x14ac:dyDescent="0.25">
      <c r="A70" t="s">
        <v>624</v>
      </c>
      <c r="B70" t="s">
        <v>23</v>
      </c>
      <c r="C70" t="s">
        <v>24</v>
      </c>
      <c r="D70" t="s">
        <v>578</v>
      </c>
      <c r="E70" t="s">
        <v>421</v>
      </c>
      <c r="F70" t="s">
        <v>422</v>
      </c>
      <c r="G70" t="s">
        <v>423</v>
      </c>
      <c r="H70" t="s">
        <v>625</v>
      </c>
      <c r="I70" t="s">
        <v>131</v>
      </c>
      <c r="J70" t="s">
        <v>216</v>
      </c>
      <c r="K70" t="s">
        <v>217</v>
      </c>
      <c r="L70" t="s">
        <v>217</v>
      </c>
      <c r="M70" t="s">
        <v>212</v>
      </c>
      <c r="N70" t="s">
        <v>213</v>
      </c>
      <c r="O70" t="s">
        <v>28</v>
      </c>
      <c r="P70" t="s">
        <v>28</v>
      </c>
      <c r="Q70" t="s">
        <v>423</v>
      </c>
      <c r="R70" t="s">
        <v>626</v>
      </c>
      <c r="S70" t="s">
        <v>33</v>
      </c>
      <c r="T70" t="s">
        <v>627</v>
      </c>
    </row>
    <row r="71" spans="1:20" x14ac:dyDescent="0.25">
      <c r="A71" t="s">
        <v>624</v>
      </c>
      <c r="B71" t="s">
        <v>23</v>
      </c>
      <c r="C71" t="s">
        <v>24</v>
      </c>
      <c r="D71" t="s">
        <v>578</v>
      </c>
      <c r="E71" t="s">
        <v>421</v>
      </c>
      <c r="F71" t="s">
        <v>422</v>
      </c>
      <c r="G71" t="s">
        <v>423</v>
      </c>
      <c r="H71" t="s">
        <v>625</v>
      </c>
      <c r="I71" t="s">
        <v>131</v>
      </c>
      <c r="J71" t="s">
        <v>224</v>
      </c>
      <c r="K71" t="s">
        <v>223</v>
      </c>
      <c r="L71" t="s">
        <v>223</v>
      </c>
      <c r="M71" t="s">
        <v>212</v>
      </c>
      <c r="N71" t="s">
        <v>213</v>
      </c>
      <c r="O71" t="s">
        <v>28</v>
      </c>
      <c r="P71" t="s">
        <v>28</v>
      </c>
      <c r="Q71" t="s">
        <v>423</v>
      </c>
      <c r="R71" t="s">
        <v>626</v>
      </c>
      <c r="S71" t="s">
        <v>33</v>
      </c>
      <c r="T71" t="s">
        <v>627</v>
      </c>
    </row>
    <row r="72" spans="1:20" x14ac:dyDescent="0.25">
      <c r="A72" t="s">
        <v>624</v>
      </c>
      <c r="B72" t="s">
        <v>23</v>
      </c>
      <c r="C72" t="s">
        <v>24</v>
      </c>
      <c r="D72" t="s">
        <v>578</v>
      </c>
      <c r="E72" t="s">
        <v>421</v>
      </c>
      <c r="F72" t="s">
        <v>422</v>
      </c>
      <c r="G72" t="s">
        <v>423</v>
      </c>
      <c r="H72" t="s">
        <v>625</v>
      </c>
      <c r="I72" t="s">
        <v>131</v>
      </c>
      <c r="J72" t="s">
        <v>274</v>
      </c>
      <c r="K72" t="s">
        <v>223</v>
      </c>
      <c r="L72" t="s">
        <v>237</v>
      </c>
      <c r="M72" t="s">
        <v>212</v>
      </c>
      <c r="N72" t="s">
        <v>213</v>
      </c>
      <c r="O72" t="s">
        <v>28</v>
      </c>
      <c r="P72" t="s">
        <v>28</v>
      </c>
      <c r="Q72" t="s">
        <v>423</v>
      </c>
      <c r="R72" t="s">
        <v>626</v>
      </c>
      <c r="S72" t="s">
        <v>33</v>
      </c>
      <c r="T72" t="s">
        <v>627</v>
      </c>
    </row>
    <row r="73" spans="1:20" x14ac:dyDescent="0.25">
      <c r="A73" t="s">
        <v>628</v>
      </c>
      <c r="B73" t="s">
        <v>23</v>
      </c>
      <c r="C73" t="s">
        <v>24</v>
      </c>
      <c r="D73" t="s">
        <v>578</v>
      </c>
      <c r="E73" t="s">
        <v>58</v>
      </c>
      <c r="F73" t="s">
        <v>320</v>
      </c>
      <c r="G73" t="s">
        <v>59</v>
      </c>
      <c r="H73" t="s">
        <v>321</v>
      </c>
      <c r="I73" t="s">
        <v>60</v>
      </c>
      <c r="J73" t="s">
        <v>224</v>
      </c>
      <c r="K73" t="s">
        <v>223</v>
      </c>
      <c r="L73" t="s">
        <v>223</v>
      </c>
      <c r="M73" t="s">
        <v>212</v>
      </c>
      <c r="N73" t="s">
        <v>213</v>
      </c>
      <c r="O73" t="s">
        <v>28</v>
      </c>
      <c r="P73" t="s">
        <v>28</v>
      </c>
      <c r="Q73" t="s">
        <v>59</v>
      </c>
      <c r="R73" t="s">
        <v>629</v>
      </c>
      <c r="S73" t="s">
        <v>47</v>
      </c>
      <c r="T73" t="s">
        <v>630</v>
      </c>
    </row>
    <row r="74" spans="1:20" x14ac:dyDescent="0.25">
      <c r="A74" t="s">
        <v>628</v>
      </c>
      <c r="B74" t="s">
        <v>23</v>
      </c>
      <c r="C74" t="s">
        <v>24</v>
      </c>
      <c r="D74" t="s">
        <v>578</v>
      </c>
      <c r="E74" t="s">
        <v>58</v>
      </c>
      <c r="F74" t="s">
        <v>320</v>
      </c>
      <c r="G74" t="s">
        <v>59</v>
      </c>
      <c r="H74" t="s">
        <v>321</v>
      </c>
      <c r="I74" t="s">
        <v>60</v>
      </c>
      <c r="J74" t="s">
        <v>257</v>
      </c>
      <c r="K74" t="s">
        <v>240</v>
      </c>
      <c r="L74" t="s">
        <v>240</v>
      </c>
      <c r="M74" t="s">
        <v>212</v>
      </c>
      <c r="N74" t="s">
        <v>213</v>
      </c>
      <c r="O74" t="s">
        <v>28</v>
      </c>
      <c r="P74" t="s">
        <v>28</v>
      </c>
      <c r="Q74" t="s">
        <v>59</v>
      </c>
      <c r="R74" t="s">
        <v>629</v>
      </c>
      <c r="S74" t="s">
        <v>47</v>
      </c>
      <c r="T74" t="s">
        <v>630</v>
      </c>
    </row>
    <row r="75" spans="1:20" x14ac:dyDescent="0.25">
      <c r="A75" t="s">
        <v>628</v>
      </c>
      <c r="B75" t="s">
        <v>23</v>
      </c>
      <c r="C75" t="s">
        <v>24</v>
      </c>
      <c r="D75" t="s">
        <v>578</v>
      </c>
      <c r="E75" t="s">
        <v>58</v>
      </c>
      <c r="F75" t="s">
        <v>320</v>
      </c>
      <c r="G75" t="s">
        <v>59</v>
      </c>
      <c r="H75" t="s">
        <v>321</v>
      </c>
      <c r="I75" t="s">
        <v>60</v>
      </c>
      <c r="J75" t="s">
        <v>230</v>
      </c>
      <c r="K75" t="s">
        <v>240</v>
      </c>
      <c r="L75" t="s">
        <v>240</v>
      </c>
      <c r="M75" t="s">
        <v>212</v>
      </c>
      <c r="N75" t="s">
        <v>213</v>
      </c>
      <c r="O75" t="s">
        <v>28</v>
      </c>
      <c r="P75" t="s">
        <v>28</v>
      </c>
      <c r="Q75" t="s">
        <v>59</v>
      </c>
      <c r="R75" t="s">
        <v>629</v>
      </c>
      <c r="S75" t="s">
        <v>47</v>
      </c>
      <c r="T75" t="s">
        <v>630</v>
      </c>
    </row>
    <row r="76" spans="1:20" x14ac:dyDescent="0.25">
      <c r="A76" t="s">
        <v>628</v>
      </c>
      <c r="B76" t="s">
        <v>23</v>
      </c>
      <c r="C76" t="s">
        <v>24</v>
      </c>
      <c r="D76" t="s">
        <v>578</v>
      </c>
      <c r="E76" t="s">
        <v>58</v>
      </c>
      <c r="F76" t="s">
        <v>320</v>
      </c>
      <c r="G76" t="s">
        <v>59</v>
      </c>
      <c r="H76" t="s">
        <v>321</v>
      </c>
      <c r="I76" t="s">
        <v>60</v>
      </c>
      <c r="J76" t="s">
        <v>222</v>
      </c>
      <c r="K76" t="s">
        <v>237</v>
      </c>
      <c r="L76" t="s">
        <v>223</v>
      </c>
      <c r="M76" t="s">
        <v>212</v>
      </c>
      <c r="N76" t="s">
        <v>213</v>
      </c>
      <c r="O76" t="s">
        <v>28</v>
      </c>
      <c r="P76" t="s">
        <v>28</v>
      </c>
      <c r="Q76" t="s">
        <v>59</v>
      </c>
      <c r="R76" t="s">
        <v>629</v>
      </c>
      <c r="S76" t="s">
        <v>47</v>
      </c>
      <c r="T76" t="s">
        <v>630</v>
      </c>
    </row>
    <row r="77" spans="1:20" x14ac:dyDescent="0.25">
      <c r="A77" t="s">
        <v>631</v>
      </c>
      <c r="B77" t="s">
        <v>23</v>
      </c>
      <c r="C77" t="s">
        <v>37</v>
      </c>
      <c r="D77" t="s">
        <v>578</v>
      </c>
      <c r="E77" t="s">
        <v>143</v>
      </c>
      <c r="F77" t="s">
        <v>333</v>
      </c>
      <c r="G77" t="s">
        <v>144</v>
      </c>
      <c r="H77" t="s">
        <v>334</v>
      </c>
      <c r="I77" t="s">
        <v>145</v>
      </c>
      <c r="J77" t="s">
        <v>230</v>
      </c>
      <c r="K77" t="s">
        <v>239</v>
      </c>
      <c r="L77" t="s">
        <v>231</v>
      </c>
      <c r="M77" t="s">
        <v>212</v>
      </c>
      <c r="N77" t="s">
        <v>213</v>
      </c>
      <c r="O77" t="s">
        <v>28</v>
      </c>
      <c r="P77" t="s">
        <v>28</v>
      </c>
      <c r="Q77" t="s">
        <v>145</v>
      </c>
      <c r="R77" t="s">
        <v>632</v>
      </c>
      <c r="S77" t="s">
        <v>47</v>
      </c>
      <c r="T77" t="s">
        <v>633</v>
      </c>
    </row>
    <row r="78" spans="1:20" x14ac:dyDescent="0.25">
      <c r="A78" t="s">
        <v>631</v>
      </c>
      <c r="B78" t="s">
        <v>23</v>
      </c>
      <c r="C78" t="s">
        <v>37</v>
      </c>
      <c r="D78" t="s">
        <v>578</v>
      </c>
      <c r="E78" t="s">
        <v>143</v>
      </c>
      <c r="F78" t="s">
        <v>333</v>
      </c>
      <c r="G78" t="s">
        <v>144</v>
      </c>
      <c r="H78" t="s">
        <v>334</v>
      </c>
      <c r="I78" t="s">
        <v>145</v>
      </c>
      <c r="J78" t="s">
        <v>257</v>
      </c>
      <c r="K78" t="s">
        <v>255</v>
      </c>
      <c r="L78" t="s">
        <v>221</v>
      </c>
      <c r="M78" t="s">
        <v>212</v>
      </c>
      <c r="N78" t="s">
        <v>213</v>
      </c>
      <c r="O78" t="s">
        <v>28</v>
      </c>
      <c r="P78" t="s">
        <v>28</v>
      </c>
      <c r="Q78" t="s">
        <v>145</v>
      </c>
      <c r="R78" t="s">
        <v>632</v>
      </c>
      <c r="S78" t="s">
        <v>47</v>
      </c>
      <c r="T78" t="s">
        <v>633</v>
      </c>
    </row>
    <row r="79" spans="1:20" x14ac:dyDescent="0.25">
      <c r="A79" t="s">
        <v>631</v>
      </c>
      <c r="B79" t="s">
        <v>23</v>
      </c>
      <c r="C79" t="s">
        <v>37</v>
      </c>
      <c r="D79" t="s">
        <v>578</v>
      </c>
      <c r="E79" t="s">
        <v>143</v>
      </c>
      <c r="F79" t="s">
        <v>333</v>
      </c>
      <c r="G79" t="s">
        <v>144</v>
      </c>
      <c r="H79" t="s">
        <v>334</v>
      </c>
      <c r="I79" t="s">
        <v>145</v>
      </c>
      <c r="J79" t="s">
        <v>222</v>
      </c>
      <c r="K79" t="s">
        <v>223</v>
      </c>
      <c r="L79" t="s">
        <v>223</v>
      </c>
      <c r="M79" t="s">
        <v>212</v>
      </c>
      <c r="N79" t="s">
        <v>213</v>
      </c>
      <c r="O79" t="s">
        <v>28</v>
      </c>
      <c r="P79" t="s">
        <v>28</v>
      </c>
      <c r="Q79" t="s">
        <v>145</v>
      </c>
      <c r="R79" t="s">
        <v>632</v>
      </c>
      <c r="S79" t="s">
        <v>47</v>
      </c>
      <c r="T79" t="s">
        <v>633</v>
      </c>
    </row>
    <row r="80" spans="1:20" x14ac:dyDescent="0.25">
      <c r="A80" t="s">
        <v>631</v>
      </c>
      <c r="B80" t="s">
        <v>23</v>
      </c>
      <c r="C80" t="s">
        <v>37</v>
      </c>
      <c r="D80" t="s">
        <v>578</v>
      </c>
      <c r="E80" t="s">
        <v>143</v>
      </c>
      <c r="F80" t="s">
        <v>333</v>
      </c>
      <c r="G80" t="s">
        <v>144</v>
      </c>
      <c r="H80" t="s">
        <v>334</v>
      </c>
      <c r="I80" t="s">
        <v>145</v>
      </c>
      <c r="J80" t="s">
        <v>216</v>
      </c>
      <c r="K80" t="s">
        <v>217</v>
      </c>
      <c r="L80" t="s">
        <v>217</v>
      </c>
      <c r="M80" t="s">
        <v>212</v>
      </c>
      <c r="N80" t="s">
        <v>213</v>
      </c>
      <c r="O80" t="s">
        <v>28</v>
      </c>
      <c r="P80" t="s">
        <v>28</v>
      </c>
      <c r="Q80" t="s">
        <v>145</v>
      </c>
      <c r="R80" t="s">
        <v>632</v>
      </c>
      <c r="S80" t="s">
        <v>47</v>
      </c>
      <c r="T80" t="s">
        <v>633</v>
      </c>
    </row>
    <row r="81" spans="1:20" x14ac:dyDescent="0.25">
      <c r="A81" t="s">
        <v>631</v>
      </c>
      <c r="B81" t="s">
        <v>23</v>
      </c>
      <c r="C81" t="s">
        <v>37</v>
      </c>
      <c r="D81" t="s">
        <v>578</v>
      </c>
      <c r="E81" t="s">
        <v>143</v>
      </c>
      <c r="F81" t="s">
        <v>333</v>
      </c>
      <c r="G81" t="s">
        <v>144</v>
      </c>
      <c r="H81" t="s">
        <v>334</v>
      </c>
      <c r="I81" t="s">
        <v>145</v>
      </c>
      <c r="J81" t="s">
        <v>224</v>
      </c>
      <c r="K81" t="s">
        <v>223</v>
      </c>
      <c r="L81" t="s">
        <v>223</v>
      </c>
      <c r="M81" t="s">
        <v>212</v>
      </c>
      <c r="N81" t="s">
        <v>213</v>
      </c>
      <c r="O81" t="s">
        <v>28</v>
      </c>
      <c r="P81" t="s">
        <v>28</v>
      </c>
      <c r="Q81" t="s">
        <v>145</v>
      </c>
      <c r="R81" t="s">
        <v>632</v>
      </c>
      <c r="S81" t="s">
        <v>47</v>
      </c>
      <c r="T81" t="s">
        <v>633</v>
      </c>
    </row>
    <row r="82" spans="1:20" x14ac:dyDescent="0.25">
      <c r="A82" t="s">
        <v>634</v>
      </c>
      <c r="B82" t="s">
        <v>23</v>
      </c>
      <c r="C82" t="s">
        <v>24</v>
      </c>
      <c r="D82" t="s">
        <v>578</v>
      </c>
      <c r="E82" t="s">
        <v>316</v>
      </c>
      <c r="F82" t="s">
        <v>317</v>
      </c>
      <c r="G82" t="s">
        <v>105</v>
      </c>
      <c r="H82" t="s">
        <v>318</v>
      </c>
      <c r="I82" t="s">
        <v>106</v>
      </c>
      <c r="J82" t="s">
        <v>635</v>
      </c>
      <c r="K82" t="s">
        <v>237</v>
      </c>
      <c r="L82" t="s">
        <v>237</v>
      </c>
      <c r="M82" t="s">
        <v>212</v>
      </c>
      <c r="N82" t="s">
        <v>213</v>
      </c>
      <c r="O82" t="s">
        <v>28</v>
      </c>
      <c r="P82" t="s">
        <v>28</v>
      </c>
      <c r="Q82" t="s">
        <v>105</v>
      </c>
      <c r="R82" t="s">
        <v>636</v>
      </c>
      <c r="S82" t="s">
        <v>47</v>
      </c>
      <c r="T82" t="s">
        <v>637</v>
      </c>
    </row>
    <row r="83" spans="1:20" x14ac:dyDescent="0.25">
      <c r="A83" t="s">
        <v>634</v>
      </c>
      <c r="B83" t="s">
        <v>23</v>
      </c>
      <c r="C83" t="s">
        <v>24</v>
      </c>
      <c r="D83" t="s">
        <v>578</v>
      </c>
      <c r="E83" t="s">
        <v>316</v>
      </c>
      <c r="F83" t="s">
        <v>317</v>
      </c>
      <c r="G83" t="s">
        <v>105</v>
      </c>
      <c r="H83" t="s">
        <v>318</v>
      </c>
      <c r="I83" t="s">
        <v>106</v>
      </c>
      <c r="J83" t="s">
        <v>222</v>
      </c>
      <c r="K83" t="s">
        <v>237</v>
      </c>
      <c r="L83" t="s">
        <v>223</v>
      </c>
      <c r="M83" t="s">
        <v>212</v>
      </c>
      <c r="N83" t="s">
        <v>213</v>
      </c>
      <c r="O83" t="s">
        <v>28</v>
      </c>
      <c r="P83" t="s">
        <v>28</v>
      </c>
      <c r="Q83" t="s">
        <v>105</v>
      </c>
      <c r="R83" t="s">
        <v>636</v>
      </c>
      <c r="S83" t="s">
        <v>47</v>
      </c>
      <c r="T83" t="s">
        <v>637</v>
      </c>
    </row>
    <row r="84" spans="1:20" x14ac:dyDescent="0.25">
      <c r="A84" t="s">
        <v>634</v>
      </c>
      <c r="B84" t="s">
        <v>23</v>
      </c>
      <c r="C84" t="s">
        <v>24</v>
      </c>
      <c r="D84" t="s">
        <v>578</v>
      </c>
      <c r="E84" t="s">
        <v>316</v>
      </c>
      <c r="F84" t="s">
        <v>317</v>
      </c>
      <c r="G84" t="s">
        <v>105</v>
      </c>
      <c r="H84" t="s">
        <v>318</v>
      </c>
      <c r="I84" t="s">
        <v>106</v>
      </c>
      <c r="J84" t="s">
        <v>230</v>
      </c>
      <c r="K84" t="s">
        <v>240</v>
      </c>
      <c r="L84" t="s">
        <v>240</v>
      </c>
      <c r="M84" t="s">
        <v>212</v>
      </c>
      <c r="N84" t="s">
        <v>213</v>
      </c>
      <c r="O84" t="s">
        <v>28</v>
      </c>
      <c r="P84" t="s">
        <v>28</v>
      </c>
      <c r="Q84" t="s">
        <v>105</v>
      </c>
      <c r="R84" t="s">
        <v>636</v>
      </c>
      <c r="S84" t="s">
        <v>47</v>
      </c>
      <c r="T84" t="s">
        <v>637</v>
      </c>
    </row>
    <row r="85" spans="1:20" x14ac:dyDescent="0.25">
      <c r="A85" t="s">
        <v>634</v>
      </c>
      <c r="B85" t="s">
        <v>23</v>
      </c>
      <c r="C85" t="s">
        <v>24</v>
      </c>
      <c r="D85" t="s">
        <v>578</v>
      </c>
      <c r="E85" t="s">
        <v>316</v>
      </c>
      <c r="F85" t="s">
        <v>317</v>
      </c>
      <c r="G85" t="s">
        <v>105</v>
      </c>
      <c r="H85" t="s">
        <v>318</v>
      </c>
      <c r="I85" t="s">
        <v>106</v>
      </c>
      <c r="J85" t="s">
        <v>257</v>
      </c>
      <c r="K85" t="s">
        <v>221</v>
      </c>
      <c r="L85" t="s">
        <v>221</v>
      </c>
      <c r="M85" t="s">
        <v>212</v>
      </c>
      <c r="N85" t="s">
        <v>213</v>
      </c>
      <c r="O85" t="s">
        <v>28</v>
      </c>
      <c r="P85" t="s">
        <v>28</v>
      </c>
      <c r="Q85" t="s">
        <v>105</v>
      </c>
      <c r="R85" t="s">
        <v>636</v>
      </c>
      <c r="S85" t="s">
        <v>47</v>
      </c>
      <c r="T85" t="s">
        <v>637</v>
      </c>
    </row>
    <row r="86" spans="1:20" x14ac:dyDescent="0.25">
      <c r="A86" t="s">
        <v>634</v>
      </c>
      <c r="B86" t="s">
        <v>23</v>
      </c>
      <c r="C86" t="s">
        <v>24</v>
      </c>
      <c r="D86" t="s">
        <v>578</v>
      </c>
      <c r="E86" t="s">
        <v>316</v>
      </c>
      <c r="F86" t="s">
        <v>317</v>
      </c>
      <c r="G86" t="s">
        <v>105</v>
      </c>
      <c r="H86" t="s">
        <v>318</v>
      </c>
      <c r="I86" t="s">
        <v>106</v>
      </c>
      <c r="J86" t="s">
        <v>216</v>
      </c>
      <c r="K86" t="s">
        <v>225</v>
      </c>
      <c r="L86" t="s">
        <v>225</v>
      </c>
      <c r="M86" t="s">
        <v>212</v>
      </c>
      <c r="N86" t="s">
        <v>213</v>
      </c>
      <c r="O86" t="s">
        <v>28</v>
      </c>
      <c r="P86" t="s">
        <v>28</v>
      </c>
      <c r="Q86" t="s">
        <v>105</v>
      </c>
      <c r="R86" t="s">
        <v>636</v>
      </c>
      <c r="S86" t="s">
        <v>47</v>
      </c>
      <c r="T86" t="s">
        <v>637</v>
      </c>
    </row>
    <row r="87" spans="1:20" x14ac:dyDescent="0.25">
      <c r="A87" t="s">
        <v>638</v>
      </c>
      <c r="B87" t="s">
        <v>23</v>
      </c>
      <c r="C87" t="s">
        <v>24</v>
      </c>
      <c r="D87" t="s">
        <v>578</v>
      </c>
      <c r="E87" t="s">
        <v>541</v>
      </c>
      <c r="F87" t="s">
        <v>307</v>
      </c>
      <c r="G87" t="s">
        <v>56</v>
      </c>
      <c r="H87" t="s">
        <v>308</v>
      </c>
      <c r="I87" t="s">
        <v>57</v>
      </c>
      <c r="J87" t="s">
        <v>216</v>
      </c>
      <c r="K87" t="s">
        <v>217</v>
      </c>
      <c r="L87" t="s">
        <v>217</v>
      </c>
      <c r="M87" t="s">
        <v>212</v>
      </c>
      <c r="N87" t="s">
        <v>213</v>
      </c>
      <c r="O87" t="s">
        <v>28</v>
      </c>
      <c r="P87" t="s">
        <v>28</v>
      </c>
      <c r="Q87" t="s">
        <v>57</v>
      </c>
      <c r="R87" t="s">
        <v>639</v>
      </c>
      <c r="S87" t="s">
        <v>33</v>
      </c>
      <c r="T87" t="s">
        <v>640</v>
      </c>
    </row>
    <row r="88" spans="1:20" x14ac:dyDescent="0.25">
      <c r="A88" t="s">
        <v>638</v>
      </c>
      <c r="B88" t="s">
        <v>23</v>
      </c>
      <c r="C88" t="s">
        <v>24</v>
      </c>
      <c r="D88" t="s">
        <v>578</v>
      </c>
      <c r="E88" t="s">
        <v>541</v>
      </c>
      <c r="F88" t="s">
        <v>307</v>
      </c>
      <c r="G88" t="s">
        <v>56</v>
      </c>
      <c r="H88" t="s">
        <v>308</v>
      </c>
      <c r="I88" t="s">
        <v>57</v>
      </c>
      <c r="J88" t="s">
        <v>224</v>
      </c>
      <c r="K88" t="s">
        <v>237</v>
      </c>
      <c r="L88" t="s">
        <v>223</v>
      </c>
      <c r="M88" t="s">
        <v>212</v>
      </c>
      <c r="N88" t="s">
        <v>309</v>
      </c>
      <c r="O88" t="s">
        <v>28</v>
      </c>
      <c r="P88" t="s">
        <v>28</v>
      </c>
      <c r="Q88" t="s">
        <v>57</v>
      </c>
      <c r="R88" t="s">
        <v>639</v>
      </c>
      <c r="S88" t="s">
        <v>33</v>
      </c>
      <c r="T88" t="s">
        <v>640</v>
      </c>
    </row>
    <row r="89" spans="1:20" x14ac:dyDescent="0.25">
      <c r="A89" t="s">
        <v>641</v>
      </c>
      <c r="B89" t="s">
        <v>23</v>
      </c>
      <c r="C89" t="s">
        <v>24</v>
      </c>
      <c r="D89" t="s">
        <v>578</v>
      </c>
      <c r="E89" t="s">
        <v>162</v>
      </c>
      <c r="F89" t="s">
        <v>272</v>
      </c>
      <c r="G89" t="s">
        <v>61</v>
      </c>
      <c r="H89" t="s">
        <v>273</v>
      </c>
      <c r="I89" t="s">
        <v>163</v>
      </c>
      <c r="J89" t="s">
        <v>230</v>
      </c>
      <c r="K89" t="s">
        <v>221</v>
      </c>
      <c r="L89" t="s">
        <v>221</v>
      </c>
      <c r="M89" t="s">
        <v>212</v>
      </c>
      <c r="N89" t="s">
        <v>213</v>
      </c>
      <c r="O89" t="s">
        <v>28</v>
      </c>
      <c r="P89" t="s">
        <v>28</v>
      </c>
      <c r="Q89" t="s">
        <v>163</v>
      </c>
      <c r="R89" t="s">
        <v>642</v>
      </c>
      <c r="S89" t="s">
        <v>47</v>
      </c>
      <c r="T89" t="s">
        <v>643</v>
      </c>
    </row>
    <row r="90" spans="1:20" x14ac:dyDescent="0.25">
      <c r="A90" t="s">
        <v>641</v>
      </c>
      <c r="B90" t="s">
        <v>23</v>
      </c>
      <c r="C90" t="s">
        <v>24</v>
      </c>
      <c r="D90" t="s">
        <v>578</v>
      </c>
      <c r="E90" t="s">
        <v>162</v>
      </c>
      <c r="F90" t="s">
        <v>272</v>
      </c>
      <c r="G90" t="s">
        <v>61</v>
      </c>
      <c r="H90" t="s">
        <v>273</v>
      </c>
      <c r="I90" t="s">
        <v>163</v>
      </c>
      <c r="J90" t="s">
        <v>224</v>
      </c>
      <c r="K90" t="s">
        <v>223</v>
      </c>
      <c r="L90" t="s">
        <v>223</v>
      </c>
      <c r="M90" t="s">
        <v>212</v>
      </c>
      <c r="N90" t="s">
        <v>213</v>
      </c>
      <c r="O90" t="s">
        <v>28</v>
      </c>
      <c r="P90" t="s">
        <v>28</v>
      </c>
      <c r="Q90" t="s">
        <v>163</v>
      </c>
      <c r="R90" t="s">
        <v>642</v>
      </c>
      <c r="S90" t="s">
        <v>47</v>
      </c>
      <c r="T90" t="s">
        <v>643</v>
      </c>
    </row>
    <row r="91" spans="1:20" x14ac:dyDescent="0.25">
      <c r="A91" t="s">
        <v>644</v>
      </c>
      <c r="B91" t="s">
        <v>23</v>
      </c>
      <c r="C91" t="s">
        <v>24</v>
      </c>
      <c r="D91" t="s">
        <v>578</v>
      </c>
      <c r="E91" t="s">
        <v>226</v>
      </c>
      <c r="F91" t="s">
        <v>227</v>
      </c>
      <c r="G91" t="s">
        <v>141</v>
      </c>
      <c r="H91" t="s">
        <v>228</v>
      </c>
      <c r="I91" t="s">
        <v>142</v>
      </c>
      <c r="J91" t="s">
        <v>222</v>
      </c>
      <c r="K91" t="s">
        <v>237</v>
      </c>
      <c r="L91" t="s">
        <v>237</v>
      </c>
      <c r="M91" t="s">
        <v>212</v>
      </c>
      <c r="N91" t="s">
        <v>213</v>
      </c>
      <c r="O91" t="s">
        <v>28</v>
      </c>
      <c r="P91" t="s">
        <v>28</v>
      </c>
      <c r="Q91" t="s">
        <v>141</v>
      </c>
      <c r="R91" t="s">
        <v>645</v>
      </c>
      <c r="S91" t="s">
        <v>47</v>
      </c>
      <c r="T91" t="s">
        <v>646</v>
      </c>
    </row>
    <row r="92" spans="1:20" x14ac:dyDescent="0.25">
      <c r="A92" t="s">
        <v>644</v>
      </c>
      <c r="B92" t="s">
        <v>23</v>
      </c>
      <c r="C92" t="s">
        <v>24</v>
      </c>
      <c r="D92" t="s">
        <v>578</v>
      </c>
      <c r="E92" t="s">
        <v>226</v>
      </c>
      <c r="F92" t="s">
        <v>227</v>
      </c>
      <c r="G92" t="s">
        <v>141</v>
      </c>
      <c r="H92" t="s">
        <v>228</v>
      </c>
      <c r="I92" t="s">
        <v>142</v>
      </c>
      <c r="J92" t="s">
        <v>230</v>
      </c>
      <c r="K92" t="s">
        <v>239</v>
      </c>
      <c r="L92" t="s">
        <v>239</v>
      </c>
      <c r="M92" t="s">
        <v>212</v>
      </c>
      <c r="N92" t="s">
        <v>213</v>
      </c>
      <c r="O92" t="s">
        <v>28</v>
      </c>
      <c r="P92" t="s">
        <v>28</v>
      </c>
      <c r="Q92" t="s">
        <v>141</v>
      </c>
      <c r="R92" t="s">
        <v>645</v>
      </c>
      <c r="S92" t="s">
        <v>47</v>
      </c>
      <c r="T92" t="s">
        <v>646</v>
      </c>
    </row>
    <row r="93" spans="1:20" x14ac:dyDescent="0.25">
      <c r="A93" t="s">
        <v>647</v>
      </c>
      <c r="B93" t="s">
        <v>23</v>
      </c>
      <c r="C93" t="s">
        <v>24</v>
      </c>
      <c r="D93" t="s">
        <v>578</v>
      </c>
      <c r="E93" t="s">
        <v>234</v>
      </c>
      <c r="F93" t="s">
        <v>235</v>
      </c>
      <c r="G93" t="s">
        <v>122</v>
      </c>
      <c r="H93" t="s">
        <v>391</v>
      </c>
      <c r="I93" t="s">
        <v>392</v>
      </c>
      <c r="J93" t="s">
        <v>222</v>
      </c>
      <c r="K93" t="s">
        <v>237</v>
      </c>
      <c r="L93" t="s">
        <v>237</v>
      </c>
      <c r="M93" t="s">
        <v>212</v>
      </c>
      <c r="N93" t="s">
        <v>213</v>
      </c>
      <c r="O93" t="s">
        <v>28</v>
      </c>
      <c r="P93" t="s">
        <v>28</v>
      </c>
      <c r="Q93" t="s">
        <v>121</v>
      </c>
      <c r="R93" t="s">
        <v>648</v>
      </c>
      <c r="S93" t="s">
        <v>47</v>
      </c>
      <c r="T93" t="s">
        <v>649</v>
      </c>
    </row>
    <row r="94" spans="1:20" x14ac:dyDescent="0.25">
      <c r="A94" t="s">
        <v>647</v>
      </c>
      <c r="B94" t="s">
        <v>23</v>
      </c>
      <c r="C94" t="s">
        <v>24</v>
      </c>
      <c r="D94" t="s">
        <v>578</v>
      </c>
      <c r="E94" t="s">
        <v>234</v>
      </c>
      <c r="F94" t="s">
        <v>235</v>
      </c>
      <c r="G94" t="s">
        <v>122</v>
      </c>
      <c r="H94" t="s">
        <v>391</v>
      </c>
      <c r="I94" t="s">
        <v>392</v>
      </c>
      <c r="J94" t="s">
        <v>216</v>
      </c>
      <c r="K94" t="s">
        <v>225</v>
      </c>
      <c r="L94" t="s">
        <v>225</v>
      </c>
      <c r="M94" t="s">
        <v>212</v>
      </c>
      <c r="N94" t="s">
        <v>213</v>
      </c>
      <c r="O94" t="s">
        <v>28</v>
      </c>
      <c r="P94" t="s">
        <v>28</v>
      </c>
      <c r="Q94" t="s">
        <v>121</v>
      </c>
      <c r="R94" t="s">
        <v>648</v>
      </c>
      <c r="S94" t="s">
        <v>47</v>
      </c>
      <c r="T94" t="s">
        <v>649</v>
      </c>
    </row>
    <row r="95" spans="1:20" x14ac:dyDescent="0.25">
      <c r="A95" t="s">
        <v>647</v>
      </c>
      <c r="B95" t="s">
        <v>23</v>
      </c>
      <c r="C95" t="s">
        <v>24</v>
      </c>
      <c r="D95" t="s">
        <v>578</v>
      </c>
      <c r="E95" t="s">
        <v>234</v>
      </c>
      <c r="F95" t="s">
        <v>235</v>
      </c>
      <c r="G95" t="s">
        <v>122</v>
      </c>
      <c r="H95" t="s">
        <v>391</v>
      </c>
      <c r="I95" t="s">
        <v>392</v>
      </c>
      <c r="J95" t="s">
        <v>347</v>
      </c>
      <c r="K95" t="s">
        <v>237</v>
      </c>
      <c r="L95" t="s">
        <v>223</v>
      </c>
      <c r="M95" t="s">
        <v>212</v>
      </c>
      <c r="N95" t="s">
        <v>213</v>
      </c>
      <c r="O95" t="s">
        <v>28</v>
      </c>
      <c r="P95" t="s">
        <v>28</v>
      </c>
      <c r="Q95" t="s">
        <v>121</v>
      </c>
      <c r="R95" t="s">
        <v>648</v>
      </c>
      <c r="S95" t="s">
        <v>47</v>
      </c>
      <c r="T95" t="s">
        <v>649</v>
      </c>
    </row>
    <row r="96" spans="1:20" x14ac:dyDescent="0.25">
      <c r="A96" t="s">
        <v>647</v>
      </c>
      <c r="B96" t="s">
        <v>23</v>
      </c>
      <c r="C96" t="s">
        <v>24</v>
      </c>
      <c r="D96" t="s">
        <v>578</v>
      </c>
      <c r="E96" t="s">
        <v>234</v>
      </c>
      <c r="F96" t="s">
        <v>235</v>
      </c>
      <c r="G96" t="s">
        <v>122</v>
      </c>
      <c r="H96" t="s">
        <v>391</v>
      </c>
      <c r="I96" t="s">
        <v>392</v>
      </c>
      <c r="J96" t="s">
        <v>230</v>
      </c>
      <c r="K96" t="s">
        <v>231</v>
      </c>
      <c r="L96" t="s">
        <v>231</v>
      </c>
      <c r="M96" t="s">
        <v>212</v>
      </c>
      <c r="N96" t="s">
        <v>213</v>
      </c>
      <c r="O96" t="s">
        <v>28</v>
      </c>
      <c r="P96" t="s">
        <v>28</v>
      </c>
      <c r="Q96" t="s">
        <v>121</v>
      </c>
      <c r="R96" t="s">
        <v>648</v>
      </c>
      <c r="S96" t="s">
        <v>47</v>
      </c>
      <c r="T96" t="s">
        <v>649</v>
      </c>
    </row>
    <row r="97" spans="1:20" x14ac:dyDescent="0.25">
      <c r="A97" t="s">
        <v>650</v>
      </c>
      <c r="B97" t="s">
        <v>23</v>
      </c>
      <c r="C97" t="s">
        <v>24</v>
      </c>
      <c r="D97" t="s">
        <v>578</v>
      </c>
      <c r="E97" t="s">
        <v>398</v>
      </c>
      <c r="F97" t="s">
        <v>424</v>
      </c>
      <c r="G97" t="s">
        <v>425</v>
      </c>
      <c r="H97" t="s">
        <v>399</v>
      </c>
      <c r="I97" t="s">
        <v>400</v>
      </c>
      <c r="J97" t="s">
        <v>437</v>
      </c>
      <c r="K97" t="s">
        <v>255</v>
      </c>
      <c r="L97" t="s">
        <v>255</v>
      </c>
      <c r="M97" t="s">
        <v>212</v>
      </c>
      <c r="N97" t="s">
        <v>213</v>
      </c>
      <c r="O97" t="s">
        <v>43</v>
      </c>
      <c r="P97" t="s">
        <v>28</v>
      </c>
      <c r="Q97" t="s">
        <v>402</v>
      </c>
      <c r="R97" t="s">
        <v>651</v>
      </c>
      <c r="S97" t="s">
        <v>47</v>
      </c>
      <c r="T97" t="s">
        <v>652</v>
      </c>
    </row>
    <row r="98" spans="1:20" x14ac:dyDescent="0.25">
      <c r="A98" t="s">
        <v>650</v>
      </c>
      <c r="B98" t="s">
        <v>23</v>
      </c>
      <c r="C98" t="s">
        <v>24</v>
      </c>
      <c r="D98" t="s">
        <v>578</v>
      </c>
      <c r="E98" t="s">
        <v>398</v>
      </c>
      <c r="F98" t="s">
        <v>424</v>
      </c>
      <c r="G98" t="s">
        <v>425</v>
      </c>
      <c r="H98" t="s">
        <v>399</v>
      </c>
      <c r="I98" t="s">
        <v>400</v>
      </c>
      <c r="J98" t="s">
        <v>653</v>
      </c>
      <c r="K98" t="s">
        <v>223</v>
      </c>
      <c r="L98" t="s">
        <v>279</v>
      </c>
      <c r="M98" t="s">
        <v>212</v>
      </c>
      <c r="N98" t="s">
        <v>213</v>
      </c>
      <c r="O98" t="s">
        <v>43</v>
      </c>
      <c r="P98" t="s">
        <v>28</v>
      </c>
      <c r="Q98" t="s">
        <v>402</v>
      </c>
      <c r="R98" t="s">
        <v>651</v>
      </c>
      <c r="S98" t="s">
        <v>47</v>
      </c>
      <c r="T98" t="s">
        <v>652</v>
      </c>
    </row>
    <row r="99" spans="1:20" x14ac:dyDescent="0.25">
      <c r="A99" t="s">
        <v>650</v>
      </c>
      <c r="B99" t="s">
        <v>23</v>
      </c>
      <c r="C99" t="s">
        <v>24</v>
      </c>
      <c r="D99" t="s">
        <v>578</v>
      </c>
      <c r="E99" t="s">
        <v>398</v>
      </c>
      <c r="F99" t="s">
        <v>424</v>
      </c>
      <c r="G99" t="s">
        <v>425</v>
      </c>
      <c r="H99" t="s">
        <v>399</v>
      </c>
      <c r="I99" t="s">
        <v>400</v>
      </c>
      <c r="J99" t="s">
        <v>431</v>
      </c>
      <c r="K99" t="s">
        <v>237</v>
      </c>
      <c r="L99" t="s">
        <v>237</v>
      </c>
      <c r="M99" t="s">
        <v>212</v>
      </c>
      <c r="N99" t="s">
        <v>213</v>
      </c>
      <c r="O99" t="s">
        <v>43</v>
      </c>
      <c r="P99" t="s">
        <v>28</v>
      </c>
      <c r="Q99" t="s">
        <v>402</v>
      </c>
      <c r="R99" t="s">
        <v>651</v>
      </c>
      <c r="S99" t="s">
        <v>47</v>
      </c>
      <c r="T99" t="s">
        <v>652</v>
      </c>
    </row>
    <row r="100" spans="1:20" x14ac:dyDescent="0.25">
      <c r="A100" t="s">
        <v>654</v>
      </c>
      <c r="B100" t="s">
        <v>23</v>
      </c>
      <c r="C100" t="s">
        <v>24</v>
      </c>
      <c r="D100" t="s">
        <v>578</v>
      </c>
      <c r="E100" t="s">
        <v>461</v>
      </c>
      <c r="F100" t="s">
        <v>462</v>
      </c>
      <c r="G100" t="s">
        <v>463</v>
      </c>
      <c r="H100" t="s">
        <v>464</v>
      </c>
      <c r="I100" t="s">
        <v>465</v>
      </c>
      <c r="J100" t="s">
        <v>466</v>
      </c>
      <c r="K100" t="s">
        <v>225</v>
      </c>
      <c r="L100" t="s">
        <v>225</v>
      </c>
      <c r="M100" t="s">
        <v>212</v>
      </c>
      <c r="N100" t="s">
        <v>213</v>
      </c>
      <c r="O100" t="s">
        <v>43</v>
      </c>
      <c r="P100" t="s">
        <v>28</v>
      </c>
      <c r="Q100" t="s">
        <v>463</v>
      </c>
      <c r="R100" t="s">
        <v>655</v>
      </c>
      <c r="S100" t="s">
        <v>47</v>
      </c>
      <c r="T100" t="s">
        <v>656</v>
      </c>
    </row>
    <row r="101" spans="1:20" x14ac:dyDescent="0.25">
      <c r="A101" t="s">
        <v>654</v>
      </c>
      <c r="B101" t="s">
        <v>23</v>
      </c>
      <c r="C101" t="s">
        <v>24</v>
      </c>
      <c r="D101" t="s">
        <v>578</v>
      </c>
      <c r="E101" t="s">
        <v>461</v>
      </c>
      <c r="F101" t="s">
        <v>462</v>
      </c>
      <c r="G101" t="s">
        <v>463</v>
      </c>
      <c r="H101" t="s">
        <v>464</v>
      </c>
      <c r="I101" t="s">
        <v>465</v>
      </c>
      <c r="J101" t="s">
        <v>403</v>
      </c>
      <c r="K101" t="s">
        <v>221</v>
      </c>
      <c r="L101" t="s">
        <v>221</v>
      </c>
      <c r="M101" t="s">
        <v>212</v>
      </c>
      <c r="N101" t="s">
        <v>213</v>
      </c>
      <c r="O101" t="s">
        <v>43</v>
      </c>
      <c r="P101" t="s">
        <v>28</v>
      </c>
      <c r="Q101" t="s">
        <v>463</v>
      </c>
      <c r="R101" t="s">
        <v>655</v>
      </c>
      <c r="S101" t="s">
        <v>47</v>
      </c>
      <c r="T101" t="s">
        <v>656</v>
      </c>
    </row>
    <row r="102" spans="1:20" x14ac:dyDescent="0.25">
      <c r="A102" t="s">
        <v>654</v>
      </c>
      <c r="B102" t="s">
        <v>23</v>
      </c>
      <c r="C102" t="s">
        <v>24</v>
      </c>
      <c r="D102" t="s">
        <v>578</v>
      </c>
      <c r="E102" t="s">
        <v>461</v>
      </c>
      <c r="F102" t="s">
        <v>462</v>
      </c>
      <c r="G102" t="s">
        <v>463</v>
      </c>
      <c r="H102" t="s">
        <v>464</v>
      </c>
      <c r="I102" t="s">
        <v>465</v>
      </c>
      <c r="J102" t="s">
        <v>431</v>
      </c>
      <c r="K102" t="s">
        <v>237</v>
      </c>
      <c r="L102" t="s">
        <v>237</v>
      </c>
      <c r="M102" t="s">
        <v>212</v>
      </c>
      <c r="N102" t="s">
        <v>213</v>
      </c>
      <c r="O102" t="s">
        <v>43</v>
      </c>
      <c r="P102" t="s">
        <v>28</v>
      </c>
      <c r="Q102" t="s">
        <v>463</v>
      </c>
      <c r="R102" t="s">
        <v>655</v>
      </c>
      <c r="S102" t="s">
        <v>47</v>
      </c>
      <c r="T102" t="s">
        <v>656</v>
      </c>
    </row>
    <row r="103" spans="1:20" x14ac:dyDescent="0.25">
      <c r="A103" t="s">
        <v>657</v>
      </c>
      <c r="B103" t="s">
        <v>23</v>
      </c>
      <c r="C103" t="s">
        <v>24</v>
      </c>
      <c r="D103" t="s">
        <v>578</v>
      </c>
      <c r="E103" t="s">
        <v>658</v>
      </c>
      <c r="F103" t="s">
        <v>659</v>
      </c>
      <c r="G103" t="s">
        <v>660</v>
      </c>
      <c r="H103" t="s">
        <v>661</v>
      </c>
      <c r="I103" t="s">
        <v>662</v>
      </c>
      <c r="J103" t="s">
        <v>230</v>
      </c>
      <c r="K103" t="s">
        <v>240</v>
      </c>
      <c r="L103" t="s">
        <v>240</v>
      </c>
      <c r="M103" t="s">
        <v>212</v>
      </c>
      <c r="N103" t="s">
        <v>213</v>
      </c>
      <c r="O103" t="s">
        <v>28</v>
      </c>
      <c r="P103" t="s">
        <v>28</v>
      </c>
      <c r="Q103" t="s">
        <v>660</v>
      </c>
      <c r="R103" t="s">
        <v>663</v>
      </c>
      <c r="S103" t="s">
        <v>47</v>
      </c>
      <c r="T103" t="s">
        <v>664</v>
      </c>
    </row>
    <row r="104" spans="1:20" x14ac:dyDescent="0.25">
      <c r="A104" t="s">
        <v>665</v>
      </c>
      <c r="B104" t="s">
        <v>23</v>
      </c>
      <c r="C104" t="s">
        <v>24</v>
      </c>
      <c r="D104" t="s">
        <v>578</v>
      </c>
      <c r="E104" t="s">
        <v>666</v>
      </c>
      <c r="F104" t="s">
        <v>433</v>
      </c>
      <c r="G104" t="s">
        <v>434</v>
      </c>
      <c r="H104" t="s">
        <v>435</v>
      </c>
      <c r="I104" t="s">
        <v>436</v>
      </c>
      <c r="J104" t="s">
        <v>222</v>
      </c>
      <c r="K104" t="s">
        <v>237</v>
      </c>
      <c r="L104" t="s">
        <v>254</v>
      </c>
      <c r="M104" t="s">
        <v>212</v>
      </c>
      <c r="N104" t="s">
        <v>213</v>
      </c>
      <c r="O104" t="s">
        <v>28</v>
      </c>
      <c r="P104" t="s">
        <v>28</v>
      </c>
      <c r="Q104" t="s">
        <v>436</v>
      </c>
      <c r="R104" t="s">
        <v>667</v>
      </c>
      <c r="S104" t="s">
        <v>47</v>
      </c>
      <c r="T104" t="s">
        <v>668</v>
      </c>
    </row>
    <row r="105" spans="1:20" x14ac:dyDescent="0.25">
      <c r="A105" t="s">
        <v>665</v>
      </c>
      <c r="B105" t="s">
        <v>23</v>
      </c>
      <c r="C105" t="s">
        <v>24</v>
      </c>
      <c r="D105" t="s">
        <v>578</v>
      </c>
      <c r="E105" t="s">
        <v>666</v>
      </c>
      <c r="F105" t="s">
        <v>433</v>
      </c>
      <c r="G105" t="s">
        <v>434</v>
      </c>
      <c r="H105" t="s">
        <v>435</v>
      </c>
      <c r="I105" t="s">
        <v>436</v>
      </c>
      <c r="J105" t="s">
        <v>230</v>
      </c>
      <c r="K105" t="s">
        <v>231</v>
      </c>
      <c r="L105" t="s">
        <v>231</v>
      </c>
      <c r="M105" t="s">
        <v>212</v>
      </c>
      <c r="N105" t="s">
        <v>213</v>
      </c>
      <c r="O105" t="s">
        <v>28</v>
      </c>
      <c r="P105" t="s">
        <v>28</v>
      </c>
      <c r="Q105" t="s">
        <v>436</v>
      </c>
      <c r="R105" t="s">
        <v>667</v>
      </c>
      <c r="S105" t="s">
        <v>47</v>
      </c>
      <c r="T105" t="s">
        <v>668</v>
      </c>
    </row>
    <row r="106" spans="1:20" x14ac:dyDescent="0.25">
      <c r="A106" t="s">
        <v>665</v>
      </c>
      <c r="B106" t="s">
        <v>23</v>
      </c>
      <c r="C106" t="s">
        <v>24</v>
      </c>
      <c r="D106" t="s">
        <v>578</v>
      </c>
      <c r="E106" t="s">
        <v>666</v>
      </c>
      <c r="F106" t="s">
        <v>433</v>
      </c>
      <c r="G106" t="s">
        <v>434</v>
      </c>
      <c r="H106" t="s">
        <v>435</v>
      </c>
      <c r="I106" t="s">
        <v>436</v>
      </c>
      <c r="J106" t="s">
        <v>216</v>
      </c>
      <c r="K106" t="s">
        <v>236</v>
      </c>
      <c r="L106" t="s">
        <v>217</v>
      </c>
      <c r="M106" t="s">
        <v>212</v>
      </c>
      <c r="N106" t="s">
        <v>213</v>
      </c>
      <c r="O106" t="s">
        <v>28</v>
      </c>
      <c r="P106" t="s">
        <v>28</v>
      </c>
      <c r="Q106" t="s">
        <v>436</v>
      </c>
      <c r="R106" t="s">
        <v>667</v>
      </c>
      <c r="S106" t="s">
        <v>47</v>
      </c>
      <c r="T106" t="s">
        <v>668</v>
      </c>
    </row>
    <row r="107" spans="1:20" x14ac:dyDescent="0.25">
      <c r="A107" t="s">
        <v>665</v>
      </c>
      <c r="B107" t="s">
        <v>23</v>
      </c>
      <c r="C107" t="s">
        <v>24</v>
      </c>
      <c r="D107" t="s">
        <v>578</v>
      </c>
      <c r="E107" t="s">
        <v>666</v>
      </c>
      <c r="F107" t="s">
        <v>433</v>
      </c>
      <c r="G107" t="s">
        <v>434</v>
      </c>
      <c r="H107" t="s">
        <v>435</v>
      </c>
      <c r="I107" t="s">
        <v>436</v>
      </c>
      <c r="J107" t="s">
        <v>403</v>
      </c>
      <c r="K107" t="s">
        <v>221</v>
      </c>
      <c r="L107" t="s">
        <v>221</v>
      </c>
      <c r="M107" t="s">
        <v>212</v>
      </c>
      <c r="N107" t="s">
        <v>213</v>
      </c>
      <c r="O107" t="s">
        <v>28</v>
      </c>
      <c r="P107" t="s">
        <v>28</v>
      </c>
      <c r="Q107" t="s">
        <v>436</v>
      </c>
      <c r="R107" t="s">
        <v>667</v>
      </c>
      <c r="S107" t="s">
        <v>47</v>
      </c>
      <c r="T107" t="s">
        <v>668</v>
      </c>
    </row>
    <row r="108" spans="1:20" x14ac:dyDescent="0.25">
      <c r="A108" t="s">
        <v>669</v>
      </c>
      <c r="B108" t="s">
        <v>23</v>
      </c>
      <c r="C108" t="s">
        <v>38</v>
      </c>
      <c r="D108" t="s">
        <v>578</v>
      </c>
      <c r="E108" t="s">
        <v>670</v>
      </c>
      <c r="F108" t="s">
        <v>343</v>
      </c>
      <c r="G108" t="s">
        <v>45</v>
      </c>
      <c r="H108" t="s">
        <v>342</v>
      </c>
      <c r="I108" t="s">
        <v>46</v>
      </c>
      <c r="J108" t="s">
        <v>245</v>
      </c>
      <c r="K108" t="s">
        <v>239</v>
      </c>
      <c r="L108" t="s">
        <v>239</v>
      </c>
      <c r="M108" t="s">
        <v>212</v>
      </c>
      <c r="N108" t="s">
        <v>213</v>
      </c>
      <c r="O108" t="s">
        <v>28</v>
      </c>
      <c r="P108" t="s">
        <v>28</v>
      </c>
      <c r="Q108" t="s">
        <v>45</v>
      </c>
      <c r="R108" t="s">
        <v>671</v>
      </c>
      <c r="S108" t="s">
        <v>47</v>
      </c>
      <c r="T108" t="s">
        <v>672</v>
      </c>
    </row>
    <row r="109" spans="1:20" x14ac:dyDescent="0.25">
      <c r="A109" t="s">
        <v>669</v>
      </c>
      <c r="B109" t="s">
        <v>23</v>
      </c>
      <c r="C109" t="s">
        <v>38</v>
      </c>
      <c r="D109" t="s">
        <v>578</v>
      </c>
      <c r="E109" t="s">
        <v>670</v>
      </c>
      <c r="F109" t="s">
        <v>343</v>
      </c>
      <c r="G109" t="s">
        <v>45</v>
      </c>
      <c r="H109" t="s">
        <v>342</v>
      </c>
      <c r="I109" t="s">
        <v>46</v>
      </c>
      <c r="J109" t="s">
        <v>224</v>
      </c>
      <c r="K109" t="s">
        <v>223</v>
      </c>
      <c r="L109" t="s">
        <v>223</v>
      </c>
      <c r="M109" t="s">
        <v>212</v>
      </c>
      <c r="N109" t="s">
        <v>213</v>
      </c>
      <c r="O109" t="s">
        <v>28</v>
      </c>
      <c r="P109" t="s">
        <v>28</v>
      </c>
      <c r="Q109" t="s">
        <v>45</v>
      </c>
      <c r="R109" t="s">
        <v>671</v>
      </c>
      <c r="S109" t="s">
        <v>47</v>
      </c>
      <c r="T109" t="s">
        <v>672</v>
      </c>
    </row>
    <row r="110" spans="1:20" x14ac:dyDescent="0.25">
      <c r="A110" t="s">
        <v>669</v>
      </c>
      <c r="B110" t="s">
        <v>23</v>
      </c>
      <c r="C110" t="s">
        <v>38</v>
      </c>
      <c r="D110" t="s">
        <v>578</v>
      </c>
      <c r="E110" t="s">
        <v>670</v>
      </c>
      <c r="F110" t="s">
        <v>343</v>
      </c>
      <c r="G110" t="s">
        <v>45</v>
      </c>
      <c r="H110" t="s">
        <v>342</v>
      </c>
      <c r="I110" t="s">
        <v>46</v>
      </c>
      <c r="J110" t="s">
        <v>229</v>
      </c>
      <c r="K110" t="s">
        <v>217</v>
      </c>
      <c r="L110" t="s">
        <v>217</v>
      </c>
      <c r="M110" t="s">
        <v>212</v>
      </c>
      <c r="N110" t="s">
        <v>213</v>
      </c>
      <c r="O110" t="s">
        <v>28</v>
      </c>
      <c r="P110" t="s">
        <v>28</v>
      </c>
      <c r="Q110" t="s">
        <v>45</v>
      </c>
      <c r="R110" t="s">
        <v>671</v>
      </c>
      <c r="S110" t="s">
        <v>47</v>
      </c>
      <c r="T110" t="s">
        <v>672</v>
      </c>
    </row>
    <row r="111" spans="1:20" x14ac:dyDescent="0.25">
      <c r="A111" t="s">
        <v>669</v>
      </c>
      <c r="B111" t="s">
        <v>23</v>
      </c>
      <c r="C111" t="s">
        <v>38</v>
      </c>
      <c r="D111" t="s">
        <v>578</v>
      </c>
      <c r="E111" t="s">
        <v>670</v>
      </c>
      <c r="F111" t="s">
        <v>343</v>
      </c>
      <c r="G111" t="s">
        <v>45</v>
      </c>
      <c r="H111" t="s">
        <v>342</v>
      </c>
      <c r="I111" t="s">
        <v>46</v>
      </c>
      <c r="J111" t="s">
        <v>210</v>
      </c>
      <c r="K111" t="s">
        <v>240</v>
      </c>
      <c r="L111" t="s">
        <v>240</v>
      </c>
      <c r="M111" t="s">
        <v>212</v>
      </c>
      <c r="N111" t="s">
        <v>213</v>
      </c>
      <c r="O111" t="s">
        <v>28</v>
      </c>
      <c r="P111" t="s">
        <v>28</v>
      </c>
      <c r="Q111" t="s">
        <v>45</v>
      </c>
      <c r="R111" t="s">
        <v>671</v>
      </c>
      <c r="S111" t="s">
        <v>47</v>
      </c>
      <c r="T111" t="s">
        <v>672</v>
      </c>
    </row>
    <row r="112" spans="1:20" x14ac:dyDescent="0.25">
      <c r="A112" t="s">
        <v>669</v>
      </c>
      <c r="B112" t="s">
        <v>23</v>
      </c>
      <c r="C112" t="s">
        <v>38</v>
      </c>
      <c r="D112" t="s">
        <v>578</v>
      </c>
      <c r="E112" t="s">
        <v>670</v>
      </c>
      <c r="F112" t="s">
        <v>343</v>
      </c>
      <c r="G112" t="s">
        <v>45</v>
      </c>
      <c r="H112" t="s">
        <v>342</v>
      </c>
      <c r="I112" t="s">
        <v>46</v>
      </c>
      <c r="J112" t="s">
        <v>290</v>
      </c>
      <c r="K112" t="s">
        <v>239</v>
      </c>
      <c r="L112" t="s">
        <v>239</v>
      </c>
      <c r="M112" t="s">
        <v>212</v>
      </c>
      <c r="N112" t="s">
        <v>213</v>
      </c>
      <c r="O112" t="s">
        <v>28</v>
      </c>
      <c r="P112" t="s">
        <v>28</v>
      </c>
      <c r="Q112" t="s">
        <v>45</v>
      </c>
      <c r="R112" t="s">
        <v>671</v>
      </c>
      <c r="S112" t="s">
        <v>47</v>
      </c>
      <c r="T112" t="s">
        <v>672</v>
      </c>
    </row>
    <row r="113" spans="1:20" x14ac:dyDescent="0.25">
      <c r="A113" t="s">
        <v>673</v>
      </c>
      <c r="B113" t="s">
        <v>23</v>
      </c>
      <c r="C113" t="s">
        <v>37</v>
      </c>
      <c r="D113" t="s">
        <v>578</v>
      </c>
      <c r="E113" t="s">
        <v>674</v>
      </c>
      <c r="F113" t="s">
        <v>675</v>
      </c>
      <c r="G113" t="s">
        <v>676</v>
      </c>
      <c r="H113" t="s">
        <v>677</v>
      </c>
      <c r="I113" t="s">
        <v>678</v>
      </c>
      <c r="J113" t="s">
        <v>222</v>
      </c>
      <c r="K113" t="s">
        <v>237</v>
      </c>
      <c r="L113" t="s">
        <v>237</v>
      </c>
      <c r="M113" t="s">
        <v>212</v>
      </c>
      <c r="N113" t="s">
        <v>213</v>
      </c>
      <c r="O113" t="s">
        <v>28</v>
      </c>
      <c r="P113" t="s">
        <v>28</v>
      </c>
      <c r="Q113" t="s">
        <v>676</v>
      </c>
      <c r="R113" t="s">
        <v>679</v>
      </c>
      <c r="S113" t="s">
        <v>47</v>
      </c>
      <c r="T113" t="s">
        <v>680</v>
      </c>
    </row>
    <row r="114" spans="1:20" x14ac:dyDescent="0.25">
      <c r="A114" t="s">
        <v>673</v>
      </c>
      <c r="B114" t="s">
        <v>23</v>
      </c>
      <c r="C114" t="s">
        <v>37</v>
      </c>
      <c r="D114" t="s">
        <v>578</v>
      </c>
      <c r="E114" t="s">
        <v>674</v>
      </c>
      <c r="F114" t="s">
        <v>675</v>
      </c>
      <c r="G114" t="s">
        <v>676</v>
      </c>
      <c r="H114" t="s">
        <v>677</v>
      </c>
      <c r="I114" t="s">
        <v>678</v>
      </c>
      <c r="J114" t="s">
        <v>257</v>
      </c>
      <c r="K114" t="s">
        <v>240</v>
      </c>
      <c r="L114" t="s">
        <v>240</v>
      </c>
      <c r="M114" t="s">
        <v>212</v>
      </c>
      <c r="N114" t="s">
        <v>213</v>
      </c>
      <c r="O114" t="s">
        <v>28</v>
      </c>
      <c r="P114" t="s">
        <v>28</v>
      </c>
      <c r="Q114" t="s">
        <v>676</v>
      </c>
      <c r="R114" t="s">
        <v>679</v>
      </c>
      <c r="S114" t="s">
        <v>47</v>
      </c>
      <c r="T114" t="s">
        <v>680</v>
      </c>
    </row>
    <row r="115" spans="1:20" x14ac:dyDescent="0.25">
      <c r="A115" t="s">
        <v>673</v>
      </c>
      <c r="B115" t="s">
        <v>23</v>
      </c>
      <c r="C115" t="s">
        <v>37</v>
      </c>
      <c r="D115" t="s">
        <v>578</v>
      </c>
      <c r="E115" t="s">
        <v>674</v>
      </c>
      <c r="F115" t="s">
        <v>675</v>
      </c>
      <c r="G115" t="s">
        <v>676</v>
      </c>
      <c r="H115" t="s">
        <v>677</v>
      </c>
      <c r="I115" t="s">
        <v>678</v>
      </c>
      <c r="J115" t="s">
        <v>258</v>
      </c>
      <c r="K115" t="s">
        <v>281</v>
      </c>
      <c r="L115" t="s">
        <v>281</v>
      </c>
      <c r="M115" t="s">
        <v>212</v>
      </c>
      <c r="N115" t="s">
        <v>213</v>
      </c>
      <c r="O115" t="s">
        <v>28</v>
      </c>
      <c r="P115" t="s">
        <v>28</v>
      </c>
      <c r="Q115" t="s">
        <v>676</v>
      </c>
      <c r="R115" t="s">
        <v>679</v>
      </c>
      <c r="S115" t="s">
        <v>47</v>
      </c>
      <c r="T115" t="s">
        <v>680</v>
      </c>
    </row>
    <row r="116" spans="1:20" x14ac:dyDescent="0.25">
      <c r="A116" t="s">
        <v>673</v>
      </c>
      <c r="B116" t="s">
        <v>23</v>
      </c>
      <c r="C116" t="s">
        <v>37</v>
      </c>
      <c r="D116" t="s">
        <v>578</v>
      </c>
      <c r="E116" t="s">
        <v>674</v>
      </c>
      <c r="F116" t="s">
        <v>675</v>
      </c>
      <c r="G116" t="s">
        <v>676</v>
      </c>
      <c r="H116" t="s">
        <v>677</v>
      </c>
      <c r="I116" t="s">
        <v>678</v>
      </c>
      <c r="J116" t="s">
        <v>230</v>
      </c>
      <c r="K116" t="s">
        <v>221</v>
      </c>
      <c r="L116" t="s">
        <v>221</v>
      </c>
      <c r="M116" t="s">
        <v>212</v>
      </c>
      <c r="N116" t="s">
        <v>213</v>
      </c>
      <c r="O116" t="s">
        <v>28</v>
      </c>
      <c r="P116" t="s">
        <v>28</v>
      </c>
      <c r="Q116" t="s">
        <v>676</v>
      </c>
      <c r="R116" t="s">
        <v>679</v>
      </c>
      <c r="S116" t="s">
        <v>47</v>
      </c>
      <c r="T116" t="s">
        <v>680</v>
      </c>
    </row>
    <row r="117" spans="1:20" x14ac:dyDescent="0.25">
      <c r="A117" t="s">
        <v>681</v>
      </c>
      <c r="B117" t="s">
        <v>23</v>
      </c>
      <c r="C117" t="s">
        <v>38</v>
      </c>
      <c r="D117" t="s">
        <v>578</v>
      </c>
      <c r="E117" t="s">
        <v>161</v>
      </c>
      <c r="F117" t="s">
        <v>252</v>
      </c>
      <c r="G117" t="s">
        <v>138</v>
      </c>
      <c r="H117" t="s">
        <v>408</v>
      </c>
      <c r="I117" t="s">
        <v>409</v>
      </c>
      <c r="J117" t="s">
        <v>347</v>
      </c>
      <c r="K117" t="s">
        <v>255</v>
      </c>
      <c r="L117" t="s">
        <v>255</v>
      </c>
      <c r="M117" t="s">
        <v>212</v>
      </c>
      <c r="N117" t="s">
        <v>213</v>
      </c>
      <c r="O117" t="s">
        <v>28</v>
      </c>
      <c r="P117" t="s">
        <v>28</v>
      </c>
      <c r="Q117" t="s">
        <v>138</v>
      </c>
      <c r="R117" t="s">
        <v>682</v>
      </c>
      <c r="S117" t="s">
        <v>47</v>
      </c>
      <c r="T117" t="s">
        <v>683</v>
      </c>
    </row>
    <row r="118" spans="1:20" x14ac:dyDescent="0.25">
      <c r="A118" t="s">
        <v>681</v>
      </c>
      <c r="B118" t="s">
        <v>23</v>
      </c>
      <c r="C118" t="s">
        <v>38</v>
      </c>
      <c r="D118" t="s">
        <v>578</v>
      </c>
      <c r="E118" t="s">
        <v>161</v>
      </c>
      <c r="F118" t="s">
        <v>252</v>
      </c>
      <c r="G118" t="s">
        <v>138</v>
      </c>
      <c r="H118" t="s">
        <v>408</v>
      </c>
      <c r="I118" t="s">
        <v>409</v>
      </c>
      <c r="J118" t="s">
        <v>262</v>
      </c>
      <c r="K118" t="s">
        <v>236</v>
      </c>
      <c r="L118" t="s">
        <v>236</v>
      </c>
      <c r="M118" t="s">
        <v>212</v>
      </c>
      <c r="N118" t="s">
        <v>213</v>
      </c>
      <c r="O118" t="s">
        <v>28</v>
      </c>
      <c r="P118" t="s">
        <v>28</v>
      </c>
      <c r="Q118" t="s">
        <v>138</v>
      </c>
      <c r="R118" t="s">
        <v>682</v>
      </c>
      <c r="S118" t="s">
        <v>47</v>
      </c>
      <c r="T118" t="s">
        <v>683</v>
      </c>
    </row>
    <row r="119" spans="1:20" x14ac:dyDescent="0.25">
      <c r="A119" t="s">
        <v>684</v>
      </c>
      <c r="B119" t="s">
        <v>23</v>
      </c>
      <c r="C119" t="s">
        <v>24</v>
      </c>
      <c r="D119" t="s">
        <v>578</v>
      </c>
      <c r="E119" t="s">
        <v>456</v>
      </c>
      <c r="F119" t="s">
        <v>457</v>
      </c>
      <c r="G119" t="s">
        <v>458</v>
      </c>
      <c r="H119" t="s">
        <v>459</v>
      </c>
      <c r="I119" t="s">
        <v>460</v>
      </c>
      <c r="J119" t="s">
        <v>216</v>
      </c>
      <c r="K119" t="s">
        <v>225</v>
      </c>
      <c r="L119" t="s">
        <v>225</v>
      </c>
      <c r="M119" t="s">
        <v>212</v>
      </c>
      <c r="N119" t="s">
        <v>213</v>
      </c>
      <c r="O119" t="s">
        <v>28</v>
      </c>
      <c r="P119" t="s">
        <v>28</v>
      </c>
      <c r="Q119" t="s">
        <v>458</v>
      </c>
      <c r="R119" t="s">
        <v>685</v>
      </c>
      <c r="S119" t="s">
        <v>47</v>
      </c>
      <c r="T119" t="s">
        <v>686</v>
      </c>
    </row>
    <row r="120" spans="1:20" x14ac:dyDescent="0.25">
      <c r="A120" t="s">
        <v>684</v>
      </c>
      <c r="B120" t="s">
        <v>23</v>
      </c>
      <c r="C120" t="s">
        <v>24</v>
      </c>
      <c r="D120" t="s">
        <v>578</v>
      </c>
      <c r="E120" t="s">
        <v>456</v>
      </c>
      <c r="F120" t="s">
        <v>457</v>
      </c>
      <c r="G120" t="s">
        <v>458</v>
      </c>
      <c r="H120" t="s">
        <v>459</v>
      </c>
      <c r="I120" t="s">
        <v>460</v>
      </c>
      <c r="J120" t="s">
        <v>224</v>
      </c>
      <c r="K120" t="s">
        <v>223</v>
      </c>
      <c r="L120" t="s">
        <v>223</v>
      </c>
      <c r="M120" t="s">
        <v>212</v>
      </c>
      <c r="N120" t="s">
        <v>213</v>
      </c>
      <c r="O120" t="s">
        <v>28</v>
      </c>
      <c r="P120" t="s">
        <v>28</v>
      </c>
      <c r="Q120" t="s">
        <v>458</v>
      </c>
      <c r="R120" t="s">
        <v>685</v>
      </c>
      <c r="S120" t="s">
        <v>47</v>
      </c>
      <c r="T120" t="s">
        <v>686</v>
      </c>
    </row>
    <row r="121" spans="1:20" x14ac:dyDescent="0.25">
      <c r="A121" t="s">
        <v>684</v>
      </c>
      <c r="B121" t="s">
        <v>23</v>
      </c>
      <c r="C121" t="s">
        <v>24</v>
      </c>
      <c r="D121" t="s">
        <v>578</v>
      </c>
      <c r="E121" t="s">
        <v>456</v>
      </c>
      <c r="F121" t="s">
        <v>457</v>
      </c>
      <c r="G121" t="s">
        <v>458</v>
      </c>
      <c r="H121" t="s">
        <v>459</v>
      </c>
      <c r="I121" t="s">
        <v>460</v>
      </c>
      <c r="J121" t="s">
        <v>230</v>
      </c>
      <c r="K121" t="s">
        <v>285</v>
      </c>
      <c r="L121" t="s">
        <v>285</v>
      </c>
      <c r="M121" t="s">
        <v>212</v>
      </c>
      <c r="N121" t="s">
        <v>213</v>
      </c>
      <c r="O121" t="s">
        <v>28</v>
      </c>
      <c r="P121" t="s">
        <v>28</v>
      </c>
      <c r="Q121" t="s">
        <v>458</v>
      </c>
      <c r="R121" t="s">
        <v>685</v>
      </c>
      <c r="S121" t="s">
        <v>47</v>
      </c>
      <c r="T121" t="s">
        <v>686</v>
      </c>
    </row>
    <row r="122" spans="1:20" x14ac:dyDescent="0.25">
      <c r="A122" t="s">
        <v>687</v>
      </c>
      <c r="B122" t="s">
        <v>23</v>
      </c>
      <c r="C122" t="s">
        <v>24</v>
      </c>
      <c r="D122" t="s">
        <v>578</v>
      </c>
      <c r="E122" t="s">
        <v>688</v>
      </c>
      <c r="F122" t="s">
        <v>528</v>
      </c>
      <c r="G122" t="s">
        <v>529</v>
      </c>
      <c r="H122" t="s">
        <v>530</v>
      </c>
      <c r="I122" t="s">
        <v>531</v>
      </c>
      <c r="J122" t="s">
        <v>230</v>
      </c>
      <c r="K122" t="s">
        <v>689</v>
      </c>
      <c r="L122" t="s">
        <v>285</v>
      </c>
      <c r="M122" t="s">
        <v>212</v>
      </c>
      <c r="N122" t="s">
        <v>213</v>
      </c>
      <c r="O122" t="s">
        <v>28</v>
      </c>
      <c r="P122" t="s">
        <v>28</v>
      </c>
      <c r="Q122" t="s">
        <v>529</v>
      </c>
      <c r="R122" t="s">
        <v>690</v>
      </c>
      <c r="S122" t="s">
        <v>47</v>
      </c>
      <c r="T122" t="s">
        <v>691</v>
      </c>
    </row>
    <row r="123" spans="1:20" x14ac:dyDescent="0.25">
      <c r="A123" t="s">
        <v>692</v>
      </c>
      <c r="B123" t="s">
        <v>23</v>
      </c>
      <c r="C123" t="s">
        <v>24</v>
      </c>
      <c r="D123" t="s">
        <v>693</v>
      </c>
      <c r="E123" t="s">
        <v>688</v>
      </c>
      <c r="F123" t="s">
        <v>528</v>
      </c>
      <c r="G123" t="s">
        <v>529</v>
      </c>
      <c r="H123" t="s">
        <v>530</v>
      </c>
      <c r="I123" t="s">
        <v>531</v>
      </c>
      <c r="J123" t="s">
        <v>216</v>
      </c>
      <c r="K123" t="s">
        <v>225</v>
      </c>
      <c r="L123" t="s">
        <v>225</v>
      </c>
      <c r="M123" t="s">
        <v>212</v>
      </c>
      <c r="N123" t="s">
        <v>225</v>
      </c>
      <c r="O123" t="s">
        <v>28</v>
      </c>
      <c r="P123" t="s">
        <v>28</v>
      </c>
      <c r="Q123" t="s">
        <v>529</v>
      </c>
      <c r="R123" t="s">
        <v>694</v>
      </c>
      <c r="S123" t="s">
        <v>695</v>
      </c>
      <c r="T123" t="s">
        <v>696</v>
      </c>
    </row>
    <row r="124" spans="1:20" x14ac:dyDescent="0.25">
      <c r="A124" t="s">
        <v>692</v>
      </c>
      <c r="B124" t="s">
        <v>23</v>
      </c>
      <c r="C124" t="s">
        <v>24</v>
      </c>
      <c r="D124" t="s">
        <v>693</v>
      </c>
      <c r="E124" t="s">
        <v>688</v>
      </c>
      <c r="F124" t="s">
        <v>528</v>
      </c>
      <c r="G124" t="s">
        <v>529</v>
      </c>
      <c r="H124" t="s">
        <v>530</v>
      </c>
      <c r="I124" t="s">
        <v>531</v>
      </c>
      <c r="J124" t="s">
        <v>697</v>
      </c>
      <c r="K124" t="s">
        <v>255</v>
      </c>
      <c r="L124" t="s">
        <v>698</v>
      </c>
      <c r="M124" t="s">
        <v>212</v>
      </c>
      <c r="N124" t="s">
        <v>255</v>
      </c>
      <c r="O124" t="s">
        <v>28</v>
      </c>
      <c r="P124" t="s">
        <v>28</v>
      </c>
      <c r="Q124" t="s">
        <v>529</v>
      </c>
      <c r="R124" t="s">
        <v>694</v>
      </c>
      <c r="S124" t="s">
        <v>695</v>
      </c>
      <c r="T124" t="s">
        <v>696</v>
      </c>
    </row>
    <row r="125" spans="1:20" x14ac:dyDescent="0.25">
      <c r="A125" t="s">
        <v>699</v>
      </c>
      <c r="B125" t="s">
        <v>23</v>
      </c>
      <c r="C125" t="s">
        <v>24</v>
      </c>
      <c r="D125" t="s">
        <v>693</v>
      </c>
      <c r="E125" t="s">
        <v>541</v>
      </c>
      <c r="F125" t="s">
        <v>307</v>
      </c>
      <c r="G125" t="s">
        <v>56</v>
      </c>
      <c r="H125" t="s">
        <v>308</v>
      </c>
      <c r="I125" t="s">
        <v>57</v>
      </c>
      <c r="J125" t="s">
        <v>225</v>
      </c>
      <c r="K125" t="s">
        <v>240</v>
      </c>
      <c r="L125" t="s">
        <v>280</v>
      </c>
      <c r="M125" t="s">
        <v>212</v>
      </c>
      <c r="N125" t="s">
        <v>213</v>
      </c>
      <c r="O125" t="s">
        <v>28</v>
      </c>
      <c r="P125" t="s">
        <v>28</v>
      </c>
      <c r="Q125" t="s">
        <v>57</v>
      </c>
      <c r="R125" t="s">
        <v>700</v>
      </c>
      <c r="S125" t="s">
        <v>33</v>
      </c>
      <c r="T125" t="s">
        <v>701</v>
      </c>
    </row>
    <row r="126" spans="1:20" x14ac:dyDescent="0.25">
      <c r="A126" t="s">
        <v>699</v>
      </c>
      <c r="B126" t="s">
        <v>23</v>
      </c>
      <c r="C126" t="s">
        <v>24</v>
      </c>
      <c r="D126" t="s">
        <v>693</v>
      </c>
      <c r="E126" t="s">
        <v>541</v>
      </c>
      <c r="F126" t="s">
        <v>307</v>
      </c>
      <c r="G126" t="s">
        <v>56</v>
      </c>
      <c r="H126" t="s">
        <v>308</v>
      </c>
      <c r="I126" t="s">
        <v>57</v>
      </c>
      <c r="J126" t="s">
        <v>274</v>
      </c>
      <c r="K126" t="s">
        <v>223</v>
      </c>
      <c r="L126" t="s">
        <v>237</v>
      </c>
      <c r="M126" t="s">
        <v>212</v>
      </c>
      <c r="N126" t="s">
        <v>213</v>
      </c>
      <c r="O126" t="s">
        <v>28</v>
      </c>
      <c r="P126" t="s">
        <v>28</v>
      </c>
      <c r="Q126" t="s">
        <v>57</v>
      </c>
      <c r="R126" t="s">
        <v>700</v>
      </c>
      <c r="S126" t="s">
        <v>33</v>
      </c>
      <c r="T126" t="s">
        <v>701</v>
      </c>
    </row>
    <row r="127" spans="1:20" x14ac:dyDescent="0.25">
      <c r="A127" t="s">
        <v>699</v>
      </c>
      <c r="B127" t="s">
        <v>23</v>
      </c>
      <c r="C127" t="s">
        <v>24</v>
      </c>
      <c r="D127" t="s">
        <v>693</v>
      </c>
      <c r="E127" t="s">
        <v>541</v>
      </c>
      <c r="F127" t="s">
        <v>307</v>
      </c>
      <c r="G127" t="s">
        <v>56</v>
      </c>
      <c r="H127" t="s">
        <v>308</v>
      </c>
      <c r="I127" t="s">
        <v>57</v>
      </c>
      <c r="J127" t="s">
        <v>230</v>
      </c>
      <c r="K127" t="s">
        <v>240</v>
      </c>
      <c r="L127" t="s">
        <v>240</v>
      </c>
      <c r="M127" t="s">
        <v>212</v>
      </c>
      <c r="N127" t="s">
        <v>213</v>
      </c>
      <c r="O127" t="s">
        <v>28</v>
      </c>
      <c r="P127" t="s">
        <v>28</v>
      </c>
      <c r="Q127" t="s">
        <v>57</v>
      </c>
      <c r="R127" t="s">
        <v>700</v>
      </c>
      <c r="S127" t="s">
        <v>33</v>
      </c>
      <c r="T127" t="s">
        <v>701</v>
      </c>
    </row>
    <row r="128" spans="1:20" x14ac:dyDescent="0.25">
      <c r="A128" t="s">
        <v>702</v>
      </c>
      <c r="B128" t="s">
        <v>23</v>
      </c>
      <c r="C128" t="s">
        <v>24</v>
      </c>
      <c r="D128" t="s">
        <v>693</v>
      </c>
      <c r="E128" t="s">
        <v>53</v>
      </c>
      <c r="F128" t="s">
        <v>369</v>
      </c>
      <c r="G128" t="s">
        <v>54</v>
      </c>
      <c r="H128" t="s">
        <v>370</v>
      </c>
      <c r="I128" t="s">
        <v>55</v>
      </c>
      <c r="J128" t="s">
        <v>224</v>
      </c>
      <c r="K128" t="s">
        <v>237</v>
      </c>
      <c r="L128" t="s">
        <v>223</v>
      </c>
      <c r="M128" t="s">
        <v>212</v>
      </c>
      <c r="N128" t="s">
        <v>213</v>
      </c>
      <c r="O128" t="s">
        <v>28</v>
      </c>
      <c r="P128" t="s">
        <v>28</v>
      </c>
      <c r="Q128" t="s">
        <v>54</v>
      </c>
      <c r="R128" t="s">
        <v>703</v>
      </c>
      <c r="S128" t="s">
        <v>33</v>
      </c>
      <c r="T128" t="s">
        <v>704</v>
      </c>
    </row>
    <row r="129" spans="1:20" x14ac:dyDescent="0.25">
      <c r="A129" t="s">
        <v>705</v>
      </c>
      <c r="B129" t="s">
        <v>23</v>
      </c>
      <c r="C129" t="s">
        <v>24</v>
      </c>
      <c r="D129" t="s">
        <v>693</v>
      </c>
      <c r="E129" t="s">
        <v>406</v>
      </c>
      <c r="F129" t="s">
        <v>282</v>
      </c>
      <c r="G129" t="s">
        <v>129</v>
      </c>
      <c r="H129" t="s">
        <v>283</v>
      </c>
      <c r="I129" t="s">
        <v>130</v>
      </c>
      <c r="J129" t="s">
        <v>322</v>
      </c>
      <c r="K129" t="s">
        <v>217</v>
      </c>
      <c r="L129" t="s">
        <v>217</v>
      </c>
      <c r="M129" t="s">
        <v>212</v>
      </c>
      <c r="N129" t="s">
        <v>213</v>
      </c>
      <c r="O129" t="s">
        <v>28</v>
      </c>
      <c r="P129" t="s">
        <v>28</v>
      </c>
      <c r="Q129" t="s">
        <v>129</v>
      </c>
      <c r="R129" t="s">
        <v>706</v>
      </c>
      <c r="S129" t="s">
        <v>47</v>
      </c>
      <c r="T129" t="s">
        <v>707</v>
      </c>
    </row>
    <row r="130" spans="1:20" x14ac:dyDescent="0.25">
      <c r="A130" t="s">
        <v>705</v>
      </c>
      <c r="B130" t="s">
        <v>23</v>
      </c>
      <c r="C130" t="s">
        <v>24</v>
      </c>
      <c r="D130" t="s">
        <v>693</v>
      </c>
      <c r="E130" t="s">
        <v>406</v>
      </c>
      <c r="F130" t="s">
        <v>282</v>
      </c>
      <c r="G130" t="s">
        <v>129</v>
      </c>
      <c r="H130" t="s">
        <v>283</v>
      </c>
      <c r="I130" t="s">
        <v>130</v>
      </c>
      <c r="J130" t="s">
        <v>257</v>
      </c>
      <c r="K130" t="s">
        <v>254</v>
      </c>
      <c r="L130" t="s">
        <v>221</v>
      </c>
      <c r="M130" t="s">
        <v>212</v>
      </c>
      <c r="N130" t="s">
        <v>213</v>
      </c>
      <c r="O130" t="s">
        <v>28</v>
      </c>
      <c r="P130" t="s">
        <v>28</v>
      </c>
      <c r="Q130" t="s">
        <v>129</v>
      </c>
      <c r="R130" t="s">
        <v>706</v>
      </c>
      <c r="S130" t="s">
        <v>47</v>
      </c>
      <c r="T130" t="s">
        <v>707</v>
      </c>
    </row>
    <row r="131" spans="1:20" x14ac:dyDescent="0.25">
      <c r="A131" t="s">
        <v>705</v>
      </c>
      <c r="B131" t="s">
        <v>23</v>
      </c>
      <c r="C131" t="s">
        <v>24</v>
      </c>
      <c r="D131" t="s">
        <v>693</v>
      </c>
      <c r="E131" t="s">
        <v>406</v>
      </c>
      <c r="F131" t="s">
        <v>282</v>
      </c>
      <c r="G131" t="s">
        <v>129</v>
      </c>
      <c r="H131" t="s">
        <v>283</v>
      </c>
      <c r="I131" t="s">
        <v>130</v>
      </c>
      <c r="J131" t="s">
        <v>245</v>
      </c>
      <c r="K131" t="s">
        <v>239</v>
      </c>
      <c r="L131" t="s">
        <v>239</v>
      </c>
      <c r="M131" t="s">
        <v>212</v>
      </c>
      <c r="N131" t="s">
        <v>213</v>
      </c>
      <c r="O131" t="s">
        <v>28</v>
      </c>
      <c r="P131" t="s">
        <v>28</v>
      </c>
      <c r="Q131" t="s">
        <v>129</v>
      </c>
      <c r="R131" t="s">
        <v>706</v>
      </c>
      <c r="S131" t="s">
        <v>47</v>
      </c>
      <c r="T131" t="s">
        <v>707</v>
      </c>
    </row>
    <row r="132" spans="1:20" x14ac:dyDescent="0.25">
      <c r="A132" t="s">
        <v>708</v>
      </c>
      <c r="B132" t="s">
        <v>23</v>
      </c>
      <c r="C132" t="s">
        <v>24</v>
      </c>
      <c r="D132" t="s">
        <v>693</v>
      </c>
      <c r="E132" t="s">
        <v>709</v>
      </c>
      <c r="F132" t="s">
        <v>710</v>
      </c>
      <c r="G132" t="s">
        <v>711</v>
      </c>
      <c r="H132" t="s">
        <v>712</v>
      </c>
      <c r="I132" t="s">
        <v>713</v>
      </c>
      <c r="J132" t="s">
        <v>271</v>
      </c>
      <c r="K132" t="s">
        <v>223</v>
      </c>
      <c r="L132" t="s">
        <v>237</v>
      </c>
      <c r="M132" t="s">
        <v>212</v>
      </c>
      <c r="N132" t="s">
        <v>213</v>
      </c>
      <c r="O132" t="s">
        <v>28</v>
      </c>
      <c r="P132" t="s">
        <v>28</v>
      </c>
      <c r="Q132" t="s">
        <v>711</v>
      </c>
      <c r="R132" t="s">
        <v>714</v>
      </c>
      <c r="S132" t="s">
        <v>33</v>
      </c>
      <c r="T132" t="s">
        <v>715</v>
      </c>
    </row>
    <row r="133" spans="1:20" x14ac:dyDescent="0.25">
      <c r="A133" t="s">
        <v>708</v>
      </c>
      <c r="B133" t="s">
        <v>23</v>
      </c>
      <c r="C133" t="s">
        <v>24</v>
      </c>
      <c r="D133" t="s">
        <v>693</v>
      </c>
      <c r="E133" t="s">
        <v>709</v>
      </c>
      <c r="F133" t="s">
        <v>710</v>
      </c>
      <c r="G133" t="s">
        <v>711</v>
      </c>
      <c r="H133" t="s">
        <v>712</v>
      </c>
      <c r="I133" t="s">
        <v>713</v>
      </c>
      <c r="J133" t="s">
        <v>274</v>
      </c>
      <c r="K133" t="s">
        <v>223</v>
      </c>
      <c r="L133" t="s">
        <v>223</v>
      </c>
      <c r="M133" t="s">
        <v>212</v>
      </c>
      <c r="N133" t="s">
        <v>213</v>
      </c>
      <c r="O133" t="s">
        <v>28</v>
      </c>
      <c r="P133" t="s">
        <v>28</v>
      </c>
      <c r="Q133" t="s">
        <v>711</v>
      </c>
      <c r="R133" t="s">
        <v>714</v>
      </c>
      <c r="S133" t="s">
        <v>33</v>
      </c>
      <c r="T133" t="s">
        <v>715</v>
      </c>
    </row>
    <row r="134" spans="1:20" x14ac:dyDescent="0.25">
      <c r="A134" t="s">
        <v>708</v>
      </c>
      <c r="B134" t="s">
        <v>23</v>
      </c>
      <c r="C134" t="s">
        <v>24</v>
      </c>
      <c r="D134" t="s">
        <v>693</v>
      </c>
      <c r="E134" t="s">
        <v>709</v>
      </c>
      <c r="F134" t="s">
        <v>710</v>
      </c>
      <c r="G134" t="s">
        <v>711</v>
      </c>
      <c r="H134" t="s">
        <v>712</v>
      </c>
      <c r="I134" t="s">
        <v>713</v>
      </c>
      <c r="J134" t="s">
        <v>611</v>
      </c>
      <c r="K134" t="s">
        <v>223</v>
      </c>
      <c r="L134" t="s">
        <v>223</v>
      </c>
      <c r="M134" t="s">
        <v>212</v>
      </c>
      <c r="N134" t="s">
        <v>213</v>
      </c>
      <c r="O134" t="s">
        <v>28</v>
      </c>
      <c r="P134" t="s">
        <v>28</v>
      </c>
      <c r="Q134" t="s">
        <v>711</v>
      </c>
      <c r="R134" t="s">
        <v>714</v>
      </c>
      <c r="S134" t="s">
        <v>33</v>
      </c>
      <c r="T134" t="s">
        <v>715</v>
      </c>
    </row>
    <row r="135" spans="1:20" x14ac:dyDescent="0.25">
      <c r="A135" t="s">
        <v>708</v>
      </c>
      <c r="B135" t="s">
        <v>23</v>
      </c>
      <c r="C135" t="s">
        <v>24</v>
      </c>
      <c r="D135" t="s">
        <v>693</v>
      </c>
      <c r="E135" t="s">
        <v>709</v>
      </c>
      <c r="F135" t="s">
        <v>710</v>
      </c>
      <c r="G135" t="s">
        <v>711</v>
      </c>
      <c r="H135" t="s">
        <v>712</v>
      </c>
      <c r="I135" t="s">
        <v>713</v>
      </c>
      <c r="J135" t="s">
        <v>216</v>
      </c>
      <c r="K135" t="s">
        <v>281</v>
      </c>
      <c r="L135" t="s">
        <v>225</v>
      </c>
      <c r="M135" t="s">
        <v>212</v>
      </c>
      <c r="N135" t="s">
        <v>213</v>
      </c>
      <c r="O135" t="s">
        <v>28</v>
      </c>
      <c r="P135" t="s">
        <v>28</v>
      </c>
      <c r="Q135" t="s">
        <v>711</v>
      </c>
      <c r="R135" t="s">
        <v>714</v>
      </c>
      <c r="S135" t="s">
        <v>33</v>
      </c>
      <c r="T135" t="s">
        <v>715</v>
      </c>
    </row>
    <row r="136" spans="1:20" x14ac:dyDescent="0.25">
      <c r="A136" t="s">
        <v>708</v>
      </c>
      <c r="B136" t="s">
        <v>23</v>
      </c>
      <c r="C136" t="s">
        <v>24</v>
      </c>
      <c r="D136" t="s">
        <v>693</v>
      </c>
      <c r="E136" t="s">
        <v>709</v>
      </c>
      <c r="F136" t="s">
        <v>710</v>
      </c>
      <c r="G136" t="s">
        <v>711</v>
      </c>
      <c r="H136" t="s">
        <v>712</v>
      </c>
      <c r="I136" t="s">
        <v>713</v>
      </c>
      <c r="J136" t="s">
        <v>222</v>
      </c>
      <c r="K136" t="s">
        <v>223</v>
      </c>
      <c r="L136" t="s">
        <v>237</v>
      </c>
      <c r="M136" t="s">
        <v>212</v>
      </c>
      <c r="N136" t="s">
        <v>213</v>
      </c>
      <c r="O136" t="s">
        <v>28</v>
      </c>
      <c r="P136" t="s">
        <v>28</v>
      </c>
      <c r="Q136" t="s">
        <v>711</v>
      </c>
      <c r="R136" t="s">
        <v>714</v>
      </c>
      <c r="S136" t="s">
        <v>33</v>
      </c>
      <c r="T136" t="s">
        <v>715</v>
      </c>
    </row>
    <row r="137" spans="1:20" x14ac:dyDescent="0.25">
      <c r="A137" t="s">
        <v>716</v>
      </c>
      <c r="B137" t="s">
        <v>23</v>
      </c>
      <c r="C137" t="s">
        <v>24</v>
      </c>
      <c r="D137" t="s">
        <v>693</v>
      </c>
      <c r="E137" t="s">
        <v>316</v>
      </c>
      <c r="F137" t="s">
        <v>317</v>
      </c>
      <c r="G137" t="s">
        <v>105</v>
      </c>
      <c r="H137" t="s">
        <v>318</v>
      </c>
      <c r="I137" t="s">
        <v>106</v>
      </c>
      <c r="J137" t="s">
        <v>257</v>
      </c>
      <c r="K137" t="s">
        <v>221</v>
      </c>
      <c r="L137" t="s">
        <v>221</v>
      </c>
      <c r="M137" t="s">
        <v>212</v>
      </c>
      <c r="N137" t="s">
        <v>213</v>
      </c>
      <c r="O137" t="s">
        <v>28</v>
      </c>
      <c r="P137" t="s">
        <v>28</v>
      </c>
      <c r="Q137" t="s">
        <v>105</v>
      </c>
      <c r="R137" t="s">
        <v>717</v>
      </c>
      <c r="S137" t="s">
        <v>33</v>
      </c>
      <c r="T137" t="s">
        <v>718</v>
      </c>
    </row>
    <row r="138" spans="1:20" x14ac:dyDescent="0.25">
      <c r="A138" t="s">
        <v>716</v>
      </c>
      <c r="B138" t="s">
        <v>23</v>
      </c>
      <c r="C138" t="s">
        <v>24</v>
      </c>
      <c r="D138" t="s">
        <v>693</v>
      </c>
      <c r="E138" t="s">
        <v>316</v>
      </c>
      <c r="F138" t="s">
        <v>317</v>
      </c>
      <c r="G138" t="s">
        <v>105</v>
      </c>
      <c r="H138" t="s">
        <v>318</v>
      </c>
      <c r="I138" t="s">
        <v>106</v>
      </c>
      <c r="J138" t="s">
        <v>230</v>
      </c>
      <c r="K138" t="s">
        <v>221</v>
      </c>
      <c r="L138" t="s">
        <v>221</v>
      </c>
      <c r="M138" t="s">
        <v>212</v>
      </c>
      <c r="N138" t="s">
        <v>213</v>
      </c>
      <c r="O138" t="s">
        <v>28</v>
      </c>
      <c r="P138" t="s">
        <v>28</v>
      </c>
      <c r="Q138" t="s">
        <v>105</v>
      </c>
      <c r="R138" t="s">
        <v>717</v>
      </c>
      <c r="S138" t="s">
        <v>33</v>
      </c>
      <c r="T138" t="s">
        <v>718</v>
      </c>
    </row>
    <row r="139" spans="1:20" x14ac:dyDescent="0.25">
      <c r="A139" t="s">
        <v>719</v>
      </c>
      <c r="B139" t="s">
        <v>23</v>
      </c>
      <c r="C139" t="s">
        <v>24</v>
      </c>
      <c r="D139" t="s">
        <v>693</v>
      </c>
      <c r="E139" t="s">
        <v>133</v>
      </c>
      <c r="F139" t="s">
        <v>313</v>
      </c>
      <c r="G139" t="s">
        <v>156</v>
      </c>
      <c r="H139" t="s">
        <v>340</v>
      </c>
      <c r="I139" t="s">
        <v>134</v>
      </c>
      <c r="J139" t="s">
        <v>230</v>
      </c>
      <c r="K139" t="s">
        <v>231</v>
      </c>
      <c r="L139" t="s">
        <v>231</v>
      </c>
      <c r="M139" t="s">
        <v>212</v>
      </c>
      <c r="N139" t="s">
        <v>213</v>
      </c>
      <c r="O139" t="s">
        <v>28</v>
      </c>
      <c r="P139" t="s">
        <v>28</v>
      </c>
      <c r="Q139" t="s">
        <v>156</v>
      </c>
      <c r="R139" t="s">
        <v>720</v>
      </c>
      <c r="S139" t="s">
        <v>695</v>
      </c>
      <c r="T139" t="s">
        <v>721</v>
      </c>
    </row>
    <row r="140" spans="1:20" x14ac:dyDescent="0.25">
      <c r="A140" t="s">
        <v>719</v>
      </c>
      <c r="B140" t="s">
        <v>23</v>
      </c>
      <c r="C140" t="s">
        <v>24</v>
      </c>
      <c r="D140" t="s">
        <v>693</v>
      </c>
      <c r="E140" t="s">
        <v>133</v>
      </c>
      <c r="F140" t="s">
        <v>313</v>
      </c>
      <c r="G140" t="s">
        <v>156</v>
      </c>
      <c r="H140" t="s">
        <v>340</v>
      </c>
      <c r="I140" t="s">
        <v>134</v>
      </c>
      <c r="J140" t="s">
        <v>257</v>
      </c>
      <c r="K140" t="s">
        <v>221</v>
      </c>
      <c r="L140" t="s">
        <v>221</v>
      </c>
      <c r="M140" t="s">
        <v>212</v>
      </c>
      <c r="N140" t="s">
        <v>213</v>
      </c>
      <c r="O140" t="s">
        <v>28</v>
      </c>
      <c r="P140" t="s">
        <v>28</v>
      </c>
      <c r="Q140" t="s">
        <v>156</v>
      </c>
      <c r="R140" t="s">
        <v>720</v>
      </c>
      <c r="S140" t="s">
        <v>695</v>
      </c>
      <c r="T140" t="s">
        <v>721</v>
      </c>
    </row>
    <row r="141" spans="1:20" x14ac:dyDescent="0.25">
      <c r="A141" t="s">
        <v>722</v>
      </c>
      <c r="B141" t="s">
        <v>23</v>
      </c>
      <c r="C141" t="s">
        <v>38</v>
      </c>
      <c r="D141" t="s">
        <v>693</v>
      </c>
      <c r="E141" t="s">
        <v>148</v>
      </c>
      <c r="F141" t="s">
        <v>329</v>
      </c>
      <c r="G141" t="s">
        <v>149</v>
      </c>
      <c r="H141" t="s">
        <v>330</v>
      </c>
      <c r="I141" t="s">
        <v>150</v>
      </c>
      <c r="J141" t="s">
        <v>417</v>
      </c>
      <c r="K141" t="s">
        <v>280</v>
      </c>
      <c r="L141" t="s">
        <v>280</v>
      </c>
      <c r="M141" t="s">
        <v>212</v>
      </c>
      <c r="N141" t="s">
        <v>213</v>
      </c>
      <c r="O141" t="s">
        <v>28</v>
      </c>
      <c r="P141" t="s">
        <v>28</v>
      </c>
      <c r="Q141" t="s">
        <v>150</v>
      </c>
      <c r="R141" t="s">
        <v>723</v>
      </c>
      <c r="S141" t="s">
        <v>47</v>
      </c>
      <c r="T141" t="s">
        <v>724</v>
      </c>
    </row>
    <row r="142" spans="1:20" x14ac:dyDescent="0.25">
      <c r="A142" t="s">
        <v>722</v>
      </c>
      <c r="B142" t="s">
        <v>23</v>
      </c>
      <c r="C142" t="s">
        <v>38</v>
      </c>
      <c r="D142" t="s">
        <v>693</v>
      </c>
      <c r="E142" t="s">
        <v>148</v>
      </c>
      <c r="F142" t="s">
        <v>329</v>
      </c>
      <c r="G142" t="s">
        <v>149</v>
      </c>
      <c r="H142" t="s">
        <v>330</v>
      </c>
      <c r="I142" t="s">
        <v>150</v>
      </c>
      <c r="J142" t="s">
        <v>230</v>
      </c>
      <c r="K142" t="s">
        <v>240</v>
      </c>
      <c r="L142" t="s">
        <v>240</v>
      </c>
      <c r="M142" t="s">
        <v>212</v>
      </c>
      <c r="N142" t="s">
        <v>213</v>
      </c>
      <c r="O142" t="s">
        <v>28</v>
      </c>
      <c r="P142" t="s">
        <v>28</v>
      </c>
      <c r="Q142" t="s">
        <v>150</v>
      </c>
      <c r="R142" t="s">
        <v>723</v>
      </c>
      <c r="S142" t="s">
        <v>47</v>
      </c>
      <c r="T142" t="s">
        <v>724</v>
      </c>
    </row>
    <row r="143" spans="1:20" x14ac:dyDescent="0.25">
      <c r="A143" t="s">
        <v>725</v>
      </c>
      <c r="B143" t="s">
        <v>23</v>
      </c>
      <c r="C143" t="s">
        <v>24</v>
      </c>
      <c r="D143" t="s">
        <v>693</v>
      </c>
      <c r="E143" t="s">
        <v>226</v>
      </c>
      <c r="F143" t="s">
        <v>227</v>
      </c>
      <c r="G143" t="s">
        <v>141</v>
      </c>
      <c r="H143" t="s">
        <v>228</v>
      </c>
      <c r="I143" t="s">
        <v>142</v>
      </c>
      <c r="J143" t="s">
        <v>257</v>
      </c>
      <c r="K143" t="s">
        <v>236</v>
      </c>
      <c r="L143" t="s">
        <v>240</v>
      </c>
      <c r="M143" t="s">
        <v>212</v>
      </c>
      <c r="N143" t="s">
        <v>213</v>
      </c>
      <c r="O143" t="s">
        <v>28</v>
      </c>
      <c r="P143" t="s">
        <v>28</v>
      </c>
      <c r="Q143" t="s">
        <v>141</v>
      </c>
      <c r="R143" t="s">
        <v>726</v>
      </c>
      <c r="S143" t="s">
        <v>695</v>
      </c>
      <c r="T143" t="s">
        <v>727</v>
      </c>
    </row>
    <row r="144" spans="1:20" x14ac:dyDescent="0.25">
      <c r="A144" t="s">
        <v>725</v>
      </c>
      <c r="B144" t="s">
        <v>23</v>
      </c>
      <c r="C144" t="s">
        <v>24</v>
      </c>
      <c r="D144" t="s">
        <v>693</v>
      </c>
      <c r="E144" t="s">
        <v>226</v>
      </c>
      <c r="F144" t="s">
        <v>227</v>
      </c>
      <c r="G144" t="s">
        <v>141</v>
      </c>
      <c r="H144" t="s">
        <v>228</v>
      </c>
      <c r="I144" t="s">
        <v>142</v>
      </c>
      <c r="J144" t="s">
        <v>697</v>
      </c>
      <c r="K144" t="s">
        <v>211</v>
      </c>
      <c r="L144" t="s">
        <v>211</v>
      </c>
      <c r="M144" t="s">
        <v>212</v>
      </c>
      <c r="N144" t="s">
        <v>213</v>
      </c>
      <c r="O144" t="s">
        <v>28</v>
      </c>
      <c r="P144" t="s">
        <v>28</v>
      </c>
      <c r="Q144" t="s">
        <v>141</v>
      </c>
      <c r="R144" t="s">
        <v>726</v>
      </c>
      <c r="S144" t="s">
        <v>695</v>
      </c>
      <c r="T144" t="s">
        <v>727</v>
      </c>
    </row>
    <row r="145" spans="1:20" x14ac:dyDescent="0.25">
      <c r="A145" t="s">
        <v>725</v>
      </c>
      <c r="B145" t="s">
        <v>23</v>
      </c>
      <c r="C145" t="s">
        <v>24</v>
      </c>
      <c r="D145" t="s">
        <v>693</v>
      </c>
      <c r="E145" t="s">
        <v>226</v>
      </c>
      <c r="F145" t="s">
        <v>227</v>
      </c>
      <c r="G145" t="s">
        <v>141</v>
      </c>
      <c r="H145" t="s">
        <v>228</v>
      </c>
      <c r="I145" t="s">
        <v>142</v>
      </c>
      <c r="J145" t="s">
        <v>229</v>
      </c>
      <c r="K145" t="s">
        <v>225</v>
      </c>
      <c r="L145" t="s">
        <v>225</v>
      </c>
      <c r="M145" t="s">
        <v>212</v>
      </c>
      <c r="N145" t="s">
        <v>213</v>
      </c>
      <c r="O145" t="s">
        <v>28</v>
      </c>
      <c r="P145" t="s">
        <v>28</v>
      </c>
      <c r="Q145" t="s">
        <v>141</v>
      </c>
      <c r="R145" t="s">
        <v>726</v>
      </c>
      <c r="S145" t="s">
        <v>695</v>
      </c>
      <c r="T145" t="s">
        <v>727</v>
      </c>
    </row>
    <row r="146" spans="1:20" x14ac:dyDescent="0.25">
      <c r="A146" t="s">
        <v>728</v>
      </c>
      <c r="B146" t="s">
        <v>23</v>
      </c>
      <c r="C146" t="s">
        <v>24</v>
      </c>
      <c r="D146" t="s">
        <v>693</v>
      </c>
      <c r="E146" t="s">
        <v>298</v>
      </c>
      <c r="F146" t="s">
        <v>299</v>
      </c>
      <c r="G146" t="s">
        <v>97</v>
      </c>
      <c r="H146" t="s">
        <v>300</v>
      </c>
      <c r="I146" t="s">
        <v>98</v>
      </c>
      <c r="J146" t="s">
        <v>224</v>
      </c>
      <c r="K146" t="s">
        <v>223</v>
      </c>
      <c r="L146" t="s">
        <v>223</v>
      </c>
      <c r="M146" t="s">
        <v>212</v>
      </c>
      <c r="N146" t="s">
        <v>213</v>
      </c>
      <c r="O146" t="s">
        <v>28</v>
      </c>
      <c r="P146" t="s">
        <v>28</v>
      </c>
      <c r="Q146" t="s">
        <v>97</v>
      </c>
      <c r="R146" t="s">
        <v>729</v>
      </c>
      <c r="S146" t="s">
        <v>33</v>
      </c>
      <c r="T146" t="s">
        <v>730</v>
      </c>
    </row>
    <row r="147" spans="1:20" x14ac:dyDescent="0.25">
      <c r="A147" t="s">
        <v>731</v>
      </c>
      <c r="B147" t="s">
        <v>23</v>
      </c>
      <c r="C147" t="s">
        <v>24</v>
      </c>
      <c r="D147" t="s">
        <v>693</v>
      </c>
      <c r="E147" t="s">
        <v>303</v>
      </c>
      <c r="F147" t="s">
        <v>305</v>
      </c>
      <c r="G147" t="s">
        <v>35</v>
      </c>
      <c r="H147" t="s">
        <v>304</v>
      </c>
      <c r="I147" t="s">
        <v>36</v>
      </c>
      <c r="J147" t="s">
        <v>216</v>
      </c>
      <c r="K147" t="s">
        <v>217</v>
      </c>
      <c r="L147" t="s">
        <v>225</v>
      </c>
      <c r="M147" t="s">
        <v>212</v>
      </c>
      <c r="N147" t="s">
        <v>213</v>
      </c>
      <c r="O147" t="s">
        <v>28</v>
      </c>
      <c r="P147" t="s">
        <v>28</v>
      </c>
      <c r="Q147" t="s">
        <v>36</v>
      </c>
      <c r="R147" t="s">
        <v>732</v>
      </c>
      <c r="S147" t="s">
        <v>695</v>
      </c>
      <c r="T147" t="s">
        <v>733</v>
      </c>
    </row>
    <row r="148" spans="1:20" x14ac:dyDescent="0.25">
      <c r="A148" t="s">
        <v>731</v>
      </c>
      <c r="B148" t="s">
        <v>23</v>
      </c>
      <c r="C148" t="s">
        <v>24</v>
      </c>
      <c r="D148" t="s">
        <v>693</v>
      </c>
      <c r="E148" t="s">
        <v>303</v>
      </c>
      <c r="F148" t="s">
        <v>305</v>
      </c>
      <c r="G148" t="s">
        <v>35</v>
      </c>
      <c r="H148" t="s">
        <v>304</v>
      </c>
      <c r="I148" t="s">
        <v>36</v>
      </c>
      <c r="J148" t="s">
        <v>222</v>
      </c>
      <c r="K148" t="s">
        <v>237</v>
      </c>
      <c r="L148" t="s">
        <v>237</v>
      </c>
      <c r="M148" t="s">
        <v>212</v>
      </c>
      <c r="N148" t="s">
        <v>734</v>
      </c>
      <c r="O148" t="s">
        <v>28</v>
      </c>
      <c r="P148" t="s">
        <v>28</v>
      </c>
      <c r="Q148" t="s">
        <v>36</v>
      </c>
      <c r="R148" t="s">
        <v>732</v>
      </c>
      <c r="S148" t="s">
        <v>695</v>
      </c>
      <c r="T148" t="s">
        <v>733</v>
      </c>
    </row>
    <row r="149" spans="1:20" x14ac:dyDescent="0.25">
      <c r="A149" t="s">
        <v>731</v>
      </c>
      <c r="B149" t="s">
        <v>23</v>
      </c>
      <c r="C149" t="s">
        <v>24</v>
      </c>
      <c r="D149" t="s">
        <v>693</v>
      </c>
      <c r="E149" t="s">
        <v>303</v>
      </c>
      <c r="F149" t="s">
        <v>305</v>
      </c>
      <c r="G149" t="s">
        <v>35</v>
      </c>
      <c r="H149" t="s">
        <v>304</v>
      </c>
      <c r="I149" t="s">
        <v>36</v>
      </c>
      <c r="J149" t="s">
        <v>257</v>
      </c>
      <c r="K149" t="s">
        <v>285</v>
      </c>
      <c r="L149" t="s">
        <v>221</v>
      </c>
      <c r="M149" t="s">
        <v>212</v>
      </c>
      <c r="N149" t="s">
        <v>213</v>
      </c>
      <c r="O149" t="s">
        <v>28</v>
      </c>
      <c r="P149" t="s">
        <v>28</v>
      </c>
      <c r="Q149" t="s">
        <v>36</v>
      </c>
      <c r="R149" t="s">
        <v>732</v>
      </c>
      <c r="S149" t="s">
        <v>695</v>
      </c>
      <c r="T149" t="s">
        <v>733</v>
      </c>
    </row>
    <row r="150" spans="1:20" x14ac:dyDescent="0.25">
      <c r="A150" t="s">
        <v>735</v>
      </c>
      <c r="B150" t="s">
        <v>23</v>
      </c>
      <c r="C150" t="s">
        <v>38</v>
      </c>
      <c r="D150" t="s">
        <v>693</v>
      </c>
      <c r="E150" t="s">
        <v>154</v>
      </c>
      <c r="F150" t="s">
        <v>319</v>
      </c>
      <c r="G150" t="s">
        <v>155</v>
      </c>
      <c r="H150" t="s">
        <v>736</v>
      </c>
      <c r="I150" t="s">
        <v>737</v>
      </c>
      <c r="J150" t="s">
        <v>224</v>
      </c>
      <c r="K150" t="s">
        <v>237</v>
      </c>
      <c r="L150" t="s">
        <v>223</v>
      </c>
      <c r="M150" t="s">
        <v>212</v>
      </c>
      <c r="N150" t="s">
        <v>213</v>
      </c>
      <c r="O150" t="s">
        <v>28</v>
      </c>
      <c r="P150" t="s">
        <v>28</v>
      </c>
      <c r="Q150" t="s">
        <v>155</v>
      </c>
      <c r="R150" t="s">
        <v>738</v>
      </c>
      <c r="S150" t="s">
        <v>47</v>
      </c>
      <c r="T150" t="s">
        <v>739</v>
      </c>
    </row>
    <row r="151" spans="1:20" x14ac:dyDescent="0.25">
      <c r="A151" t="s">
        <v>735</v>
      </c>
      <c r="B151" t="s">
        <v>23</v>
      </c>
      <c r="C151" t="s">
        <v>38</v>
      </c>
      <c r="D151" t="s">
        <v>693</v>
      </c>
      <c r="E151" t="s">
        <v>154</v>
      </c>
      <c r="F151" t="s">
        <v>319</v>
      </c>
      <c r="G151" t="s">
        <v>155</v>
      </c>
      <c r="H151" t="s">
        <v>736</v>
      </c>
      <c r="I151" t="s">
        <v>737</v>
      </c>
      <c r="J151" t="s">
        <v>257</v>
      </c>
      <c r="K151" t="s">
        <v>240</v>
      </c>
      <c r="L151" t="s">
        <v>240</v>
      </c>
      <c r="M151" t="s">
        <v>212</v>
      </c>
      <c r="N151" t="s">
        <v>213</v>
      </c>
      <c r="O151" t="s">
        <v>28</v>
      </c>
      <c r="P151" t="s">
        <v>28</v>
      </c>
      <c r="Q151" t="s">
        <v>155</v>
      </c>
      <c r="R151" t="s">
        <v>738</v>
      </c>
      <c r="S151" t="s">
        <v>47</v>
      </c>
      <c r="T151" t="s">
        <v>739</v>
      </c>
    </row>
    <row r="152" spans="1:20" x14ac:dyDescent="0.25">
      <c r="A152" t="s">
        <v>740</v>
      </c>
      <c r="B152" t="s">
        <v>23</v>
      </c>
      <c r="C152" t="s">
        <v>24</v>
      </c>
      <c r="D152" t="s">
        <v>693</v>
      </c>
      <c r="E152" t="s">
        <v>741</v>
      </c>
      <c r="F152" t="s">
        <v>439</v>
      </c>
      <c r="G152" t="s">
        <v>440</v>
      </c>
      <c r="H152" t="s">
        <v>441</v>
      </c>
      <c r="I152" t="s">
        <v>442</v>
      </c>
      <c r="J152" t="s">
        <v>230</v>
      </c>
      <c r="K152" t="s">
        <v>221</v>
      </c>
      <c r="L152" t="s">
        <v>221</v>
      </c>
      <c r="M152" t="s">
        <v>212</v>
      </c>
      <c r="N152" t="s">
        <v>213</v>
      </c>
      <c r="O152" t="s">
        <v>28</v>
      </c>
      <c r="P152" t="s">
        <v>28</v>
      </c>
      <c r="Q152" t="s">
        <v>442</v>
      </c>
      <c r="R152" t="s">
        <v>742</v>
      </c>
      <c r="S152" t="s">
        <v>47</v>
      </c>
      <c r="T152" t="s">
        <v>743</v>
      </c>
    </row>
    <row r="153" spans="1:20" x14ac:dyDescent="0.25">
      <c r="A153" t="s">
        <v>740</v>
      </c>
      <c r="B153" t="s">
        <v>23</v>
      </c>
      <c r="C153" t="s">
        <v>24</v>
      </c>
      <c r="D153" t="s">
        <v>693</v>
      </c>
      <c r="E153" t="s">
        <v>741</v>
      </c>
      <c r="F153" t="s">
        <v>439</v>
      </c>
      <c r="G153" t="s">
        <v>440</v>
      </c>
      <c r="H153" t="s">
        <v>441</v>
      </c>
      <c r="I153" t="s">
        <v>442</v>
      </c>
      <c r="J153" t="s">
        <v>393</v>
      </c>
      <c r="K153" t="s">
        <v>239</v>
      </c>
      <c r="L153" t="s">
        <v>239</v>
      </c>
      <c r="M153" t="s">
        <v>212</v>
      </c>
      <c r="N153" t="s">
        <v>213</v>
      </c>
      <c r="O153" t="s">
        <v>28</v>
      </c>
      <c r="P153" t="s">
        <v>28</v>
      </c>
      <c r="Q153" t="s">
        <v>442</v>
      </c>
      <c r="R153" t="s">
        <v>742</v>
      </c>
      <c r="S153" t="s">
        <v>47</v>
      </c>
      <c r="T153" t="s">
        <v>743</v>
      </c>
    </row>
    <row r="154" spans="1:20" x14ac:dyDescent="0.25">
      <c r="A154" t="s">
        <v>740</v>
      </c>
      <c r="B154" t="s">
        <v>23</v>
      </c>
      <c r="C154" t="s">
        <v>24</v>
      </c>
      <c r="D154" t="s">
        <v>693</v>
      </c>
      <c r="E154" t="s">
        <v>741</v>
      </c>
      <c r="F154" t="s">
        <v>439</v>
      </c>
      <c r="G154" t="s">
        <v>440</v>
      </c>
      <c r="H154" t="s">
        <v>441</v>
      </c>
      <c r="I154" t="s">
        <v>442</v>
      </c>
      <c r="J154" t="s">
        <v>218</v>
      </c>
      <c r="K154" t="s">
        <v>239</v>
      </c>
      <c r="L154" t="s">
        <v>239</v>
      </c>
      <c r="M154" t="s">
        <v>212</v>
      </c>
      <c r="N154" t="s">
        <v>213</v>
      </c>
      <c r="O154" t="s">
        <v>28</v>
      </c>
      <c r="P154" t="s">
        <v>28</v>
      </c>
      <c r="Q154" t="s">
        <v>442</v>
      </c>
      <c r="R154" t="s">
        <v>742</v>
      </c>
      <c r="S154" t="s">
        <v>47</v>
      </c>
      <c r="T154" t="s">
        <v>743</v>
      </c>
    </row>
    <row r="155" spans="1:20" x14ac:dyDescent="0.25">
      <c r="A155" t="s">
        <v>744</v>
      </c>
      <c r="B155" t="s">
        <v>23</v>
      </c>
      <c r="C155" t="s">
        <v>24</v>
      </c>
      <c r="D155" t="s">
        <v>693</v>
      </c>
      <c r="E155" t="s">
        <v>511</v>
      </c>
      <c r="F155" t="s">
        <v>394</v>
      </c>
      <c r="G155" t="s">
        <v>395</v>
      </c>
      <c r="H155" t="s">
        <v>396</v>
      </c>
      <c r="I155" t="s">
        <v>397</v>
      </c>
      <c r="J155" t="s">
        <v>697</v>
      </c>
      <c r="K155" t="s">
        <v>221</v>
      </c>
      <c r="L155" t="s">
        <v>285</v>
      </c>
      <c r="M155" t="s">
        <v>212</v>
      </c>
      <c r="N155" t="s">
        <v>213</v>
      </c>
      <c r="O155" t="s">
        <v>28</v>
      </c>
      <c r="P155" t="s">
        <v>28</v>
      </c>
      <c r="Q155" t="s">
        <v>395</v>
      </c>
      <c r="R155" t="s">
        <v>745</v>
      </c>
      <c r="S155" t="s">
        <v>47</v>
      </c>
      <c r="T155" t="s">
        <v>746</v>
      </c>
    </row>
    <row r="156" spans="1:20" x14ac:dyDescent="0.25">
      <c r="A156" t="s">
        <v>744</v>
      </c>
      <c r="B156" t="s">
        <v>23</v>
      </c>
      <c r="C156" t="s">
        <v>24</v>
      </c>
      <c r="D156" t="s">
        <v>693</v>
      </c>
      <c r="E156" t="s">
        <v>511</v>
      </c>
      <c r="F156" t="s">
        <v>394</v>
      </c>
      <c r="G156" t="s">
        <v>395</v>
      </c>
      <c r="H156" t="s">
        <v>396</v>
      </c>
      <c r="I156" t="s">
        <v>397</v>
      </c>
      <c r="J156" t="s">
        <v>230</v>
      </c>
      <c r="K156" t="s">
        <v>221</v>
      </c>
      <c r="L156" t="s">
        <v>221</v>
      </c>
      <c r="M156" t="s">
        <v>212</v>
      </c>
      <c r="N156" t="s">
        <v>213</v>
      </c>
      <c r="O156" t="s">
        <v>28</v>
      </c>
      <c r="P156" t="s">
        <v>28</v>
      </c>
      <c r="Q156" t="s">
        <v>395</v>
      </c>
      <c r="R156" t="s">
        <v>745</v>
      </c>
      <c r="S156" t="s">
        <v>47</v>
      </c>
      <c r="T156" t="s">
        <v>746</v>
      </c>
    </row>
    <row r="157" spans="1:20" x14ac:dyDescent="0.25">
      <c r="A157" t="s">
        <v>744</v>
      </c>
      <c r="B157" t="s">
        <v>23</v>
      </c>
      <c r="C157" t="s">
        <v>24</v>
      </c>
      <c r="D157" t="s">
        <v>693</v>
      </c>
      <c r="E157" t="s">
        <v>511</v>
      </c>
      <c r="F157" t="s">
        <v>394</v>
      </c>
      <c r="G157" t="s">
        <v>395</v>
      </c>
      <c r="H157" t="s">
        <v>396</v>
      </c>
      <c r="I157" t="s">
        <v>397</v>
      </c>
      <c r="J157" t="s">
        <v>218</v>
      </c>
      <c r="K157" t="s">
        <v>219</v>
      </c>
      <c r="L157" t="s">
        <v>219</v>
      </c>
      <c r="M157" t="s">
        <v>212</v>
      </c>
      <c r="N157" t="s">
        <v>213</v>
      </c>
      <c r="O157" t="s">
        <v>28</v>
      </c>
      <c r="P157" t="s">
        <v>28</v>
      </c>
      <c r="Q157" t="s">
        <v>395</v>
      </c>
      <c r="R157" t="s">
        <v>745</v>
      </c>
      <c r="S157" t="s">
        <v>47</v>
      </c>
      <c r="T157" t="s">
        <v>746</v>
      </c>
    </row>
    <row r="158" spans="1:20" x14ac:dyDescent="0.25">
      <c r="A158" t="s">
        <v>747</v>
      </c>
      <c r="B158" t="s">
        <v>23</v>
      </c>
      <c r="C158" t="s">
        <v>24</v>
      </c>
      <c r="D158" t="s">
        <v>693</v>
      </c>
      <c r="E158" t="s">
        <v>748</v>
      </c>
      <c r="F158" t="s">
        <v>386</v>
      </c>
      <c r="G158" t="s">
        <v>387</v>
      </c>
      <c r="H158" t="s">
        <v>388</v>
      </c>
      <c r="I158" t="s">
        <v>389</v>
      </c>
      <c r="J158" t="s">
        <v>224</v>
      </c>
      <c r="K158" t="s">
        <v>223</v>
      </c>
      <c r="L158" t="s">
        <v>223</v>
      </c>
      <c r="M158" t="s">
        <v>212</v>
      </c>
      <c r="N158" t="s">
        <v>213</v>
      </c>
      <c r="O158" t="s">
        <v>28</v>
      </c>
      <c r="P158" t="s">
        <v>28</v>
      </c>
      <c r="Q158" t="s">
        <v>390</v>
      </c>
      <c r="R158" t="s">
        <v>749</v>
      </c>
      <c r="S158" t="s">
        <v>33</v>
      </c>
      <c r="T158" t="s">
        <v>750</v>
      </c>
    </row>
    <row r="159" spans="1:20" x14ac:dyDescent="0.25">
      <c r="A159" t="s">
        <v>747</v>
      </c>
      <c r="B159" t="s">
        <v>23</v>
      </c>
      <c r="C159" t="s">
        <v>24</v>
      </c>
      <c r="D159" t="s">
        <v>693</v>
      </c>
      <c r="E159" t="s">
        <v>748</v>
      </c>
      <c r="F159" t="s">
        <v>386</v>
      </c>
      <c r="G159" t="s">
        <v>387</v>
      </c>
      <c r="H159" t="s">
        <v>388</v>
      </c>
      <c r="I159" t="s">
        <v>389</v>
      </c>
      <c r="J159" t="s">
        <v>216</v>
      </c>
      <c r="K159" t="s">
        <v>225</v>
      </c>
      <c r="L159" t="s">
        <v>225</v>
      </c>
      <c r="M159" t="s">
        <v>212</v>
      </c>
      <c r="N159" t="s">
        <v>213</v>
      </c>
      <c r="O159" t="s">
        <v>28</v>
      </c>
      <c r="P159" t="s">
        <v>28</v>
      </c>
      <c r="Q159" t="s">
        <v>390</v>
      </c>
      <c r="R159" t="s">
        <v>749</v>
      </c>
      <c r="S159" t="s">
        <v>33</v>
      </c>
      <c r="T159" t="s">
        <v>750</v>
      </c>
    </row>
    <row r="160" spans="1:20" x14ac:dyDescent="0.25">
      <c r="A160" t="s">
        <v>751</v>
      </c>
      <c r="B160" t="s">
        <v>23</v>
      </c>
      <c r="C160" t="s">
        <v>213</v>
      </c>
      <c r="D160" t="s">
        <v>693</v>
      </c>
      <c r="E160" t="s">
        <v>351</v>
      </c>
      <c r="F160" t="s">
        <v>352</v>
      </c>
      <c r="G160" t="s">
        <v>80</v>
      </c>
      <c r="H160" t="s">
        <v>353</v>
      </c>
      <c r="I160" t="s">
        <v>81</v>
      </c>
      <c r="J160" t="s">
        <v>224</v>
      </c>
      <c r="K160" t="s">
        <v>223</v>
      </c>
      <c r="L160" t="s">
        <v>223</v>
      </c>
      <c r="M160" t="s">
        <v>212</v>
      </c>
      <c r="N160" t="s">
        <v>213</v>
      </c>
      <c r="O160" t="s">
        <v>28</v>
      </c>
      <c r="P160" t="s">
        <v>28</v>
      </c>
      <c r="Q160" t="s">
        <v>80</v>
      </c>
      <c r="R160" t="s">
        <v>752</v>
      </c>
      <c r="S160" t="s">
        <v>47</v>
      </c>
      <c r="T160" t="s">
        <v>753</v>
      </c>
    </row>
    <row r="161" spans="1:20" x14ac:dyDescent="0.25">
      <c r="A161" t="s">
        <v>751</v>
      </c>
      <c r="B161" t="s">
        <v>23</v>
      </c>
      <c r="C161" t="s">
        <v>213</v>
      </c>
      <c r="D161" t="s">
        <v>693</v>
      </c>
      <c r="E161" t="s">
        <v>351</v>
      </c>
      <c r="F161" t="s">
        <v>352</v>
      </c>
      <c r="G161" t="s">
        <v>80</v>
      </c>
      <c r="H161" t="s">
        <v>353</v>
      </c>
      <c r="I161" t="s">
        <v>81</v>
      </c>
      <c r="J161" t="s">
        <v>230</v>
      </c>
      <c r="K161" t="s">
        <v>285</v>
      </c>
      <c r="L161" t="s">
        <v>285</v>
      </c>
      <c r="M161" t="s">
        <v>212</v>
      </c>
      <c r="N161" t="s">
        <v>213</v>
      </c>
      <c r="O161" t="s">
        <v>28</v>
      </c>
      <c r="P161" t="s">
        <v>28</v>
      </c>
      <c r="Q161" t="s">
        <v>80</v>
      </c>
      <c r="R161" t="s">
        <v>752</v>
      </c>
      <c r="S161" t="s">
        <v>47</v>
      </c>
      <c r="T161" t="s">
        <v>753</v>
      </c>
    </row>
    <row r="162" spans="1:20" x14ac:dyDescent="0.25">
      <c r="A162" t="s">
        <v>754</v>
      </c>
      <c r="B162" t="s">
        <v>23</v>
      </c>
      <c r="C162" t="s">
        <v>24</v>
      </c>
      <c r="D162" t="s">
        <v>693</v>
      </c>
      <c r="E162" t="s">
        <v>755</v>
      </c>
      <c r="F162" t="s">
        <v>452</v>
      </c>
      <c r="G162" t="s">
        <v>453</v>
      </c>
      <c r="H162" t="s">
        <v>454</v>
      </c>
      <c r="I162" t="s">
        <v>455</v>
      </c>
      <c r="J162" t="s">
        <v>230</v>
      </c>
      <c r="K162" t="s">
        <v>256</v>
      </c>
      <c r="L162" t="s">
        <v>256</v>
      </c>
      <c r="M162" t="s">
        <v>212</v>
      </c>
      <c r="N162" t="s">
        <v>301</v>
      </c>
      <c r="O162" t="s">
        <v>28</v>
      </c>
      <c r="P162" t="s">
        <v>28</v>
      </c>
      <c r="Q162" t="s">
        <v>453</v>
      </c>
      <c r="R162" t="s">
        <v>756</v>
      </c>
      <c r="S162" t="s">
        <v>33</v>
      </c>
      <c r="T162" t="s">
        <v>757</v>
      </c>
    </row>
    <row r="163" spans="1:20" x14ac:dyDescent="0.25">
      <c r="A163" t="s">
        <v>754</v>
      </c>
      <c r="B163" t="s">
        <v>23</v>
      </c>
      <c r="C163" t="s">
        <v>24</v>
      </c>
      <c r="D163" t="s">
        <v>693</v>
      </c>
      <c r="E163" t="s">
        <v>755</v>
      </c>
      <c r="F163" t="s">
        <v>452</v>
      </c>
      <c r="G163" t="s">
        <v>453</v>
      </c>
      <c r="H163" t="s">
        <v>454</v>
      </c>
      <c r="I163" t="s">
        <v>455</v>
      </c>
      <c r="J163" t="s">
        <v>274</v>
      </c>
      <c r="K163" t="s">
        <v>223</v>
      </c>
      <c r="L163" t="s">
        <v>237</v>
      </c>
      <c r="M163" t="s">
        <v>212</v>
      </c>
      <c r="N163" t="s">
        <v>758</v>
      </c>
      <c r="O163" t="s">
        <v>28</v>
      </c>
      <c r="P163" t="s">
        <v>28</v>
      </c>
      <c r="Q163" t="s">
        <v>453</v>
      </c>
      <c r="R163" t="s">
        <v>756</v>
      </c>
      <c r="S163" t="s">
        <v>33</v>
      </c>
      <c r="T163" t="s">
        <v>757</v>
      </c>
    </row>
    <row r="164" spans="1:20" x14ac:dyDescent="0.25">
      <c r="A164" t="s">
        <v>759</v>
      </c>
      <c r="B164" t="s">
        <v>23</v>
      </c>
      <c r="C164" t="s">
        <v>24</v>
      </c>
      <c r="D164" t="s">
        <v>693</v>
      </c>
      <c r="E164" t="s">
        <v>292</v>
      </c>
      <c r="F164" t="s">
        <v>293</v>
      </c>
      <c r="G164" t="s">
        <v>77</v>
      </c>
      <c r="H164" t="s">
        <v>294</v>
      </c>
      <c r="I164" t="s">
        <v>78</v>
      </c>
      <c r="J164" t="s">
        <v>295</v>
      </c>
      <c r="K164" t="s">
        <v>237</v>
      </c>
      <c r="L164" t="s">
        <v>237</v>
      </c>
      <c r="M164" t="s">
        <v>212</v>
      </c>
      <c r="N164" t="s">
        <v>296</v>
      </c>
      <c r="O164" t="s">
        <v>28</v>
      </c>
      <c r="P164" t="s">
        <v>28</v>
      </c>
      <c r="Q164" t="s">
        <v>77</v>
      </c>
      <c r="R164" t="s">
        <v>760</v>
      </c>
      <c r="S164" t="s">
        <v>695</v>
      </c>
      <c r="T164" t="s">
        <v>761</v>
      </c>
    </row>
    <row r="165" spans="1:20" x14ac:dyDescent="0.25">
      <c r="A165" t="s">
        <v>759</v>
      </c>
      <c r="B165" t="s">
        <v>23</v>
      </c>
      <c r="C165" t="s">
        <v>24</v>
      </c>
      <c r="D165" t="s">
        <v>693</v>
      </c>
      <c r="E165" t="s">
        <v>292</v>
      </c>
      <c r="F165" t="s">
        <v>293</v>
      </c>
      <c r="G165" t="s">
        <v>77</v>
      </c>
      <c r="H165" t="s">
        <v>294</v>
      </c>
      <c r="I165" t="s">
        <v>78</v>
      </c>
      <c r="J165" t="s">
        <v>216</v>
      </c>
      <c r="K165" t="s">
        <v>217</v>
      </c>
      <c r="L165" t="s">
        <v>225</v>
      </c>
      <c r="M165" t="s">
        <v>212</v>
      </c>
      <c r="N165" t="s">
        <v>297</v>
      </c>
      <c r="O165" t="s">
        <v>28</v>
      </c>
      <c r="P165" t="s">
        <v>28</v>
      </c>
      <c r="Q165" t="s">
        <v>77</v>
      </c>
      <c r="R165" t="s">
        <v>760</v>
      </c>
      <c r="S165" t="s">
        <v>695</v>
      </c>
      <c r="T165" t="s">
        <v>761</v>
      </c>
    </row>
    <row r="166" spans="1:20" x14ac:dyDescent="0.25">
      <c r="A166" t="s">
        <v>759</v>
      </c>
      <c r="B166" t="s">
        <v>23</v>
      </c>
      <c r="C166" t="s">
        <v>24</v>
      </c>
      <c r="D166" t="s">
        <v>693</v>
      </c>
      <c r="E166" t="s">
        <v>292</v>
      </c>
      <c r="F166" t="s">
        <v>293</v>
      </c>
      <c r="G166" t="s">
        <v>77</v>
      </c>
      <c r="H166" t="s">
        <v>294</v>
      </c>
      <c r="I166" t="s">
        <v>78</v>
      </c>
      <c r="J166" t="s">
        <v>224</v>
      </c>
      <c r="K166" t="s">
        <v>237</v>
      </c>
      <c r="L166" t="s">
        <v>223</v>
      </c>
      <c r="M166" t="s">
        <v>212</v>
      </c>
      <c r="N166" t="s">
        <v>297</v>
      </c>
      <c r="O166" t="s">
        <v>28</v>
      </c>
      <c r="P166" t="s">
        <v>28</v>
      </c>
      <c r="Q166" t="s">
        <v>77</v>
      </c>
      <c r="R166" t="s">
        <v>760</v>
      </c>
      <c r="S166" t="s">
        <v>695</v>
      </c>
      <c r="T166" t="s">
        <v>761</v>
      </c>
    </row>
    <row r="167" spans="1:20" x14ac:dyDescent="0.25">
      <c r="A167" t="s">
        <v>759</v>
      </c>
      <c r="B167" t="s">
        <v>23</v>
      </c>
      <c r="C167" t="s">
        <v>24</v>
      </c>
      <c r="D167" t="s">
        <v>693</v>
      </c>
      <c r="E167" t="s">
        <v>292</v>
      </c>
      <c r="F167" t="s">
        <v>293</v>
      </c>
      <c r="G167" t="s">
        <v>77</v>
      </c>
      <c r="H167" t="s">
        <v>294</v>
      </c>
      <c r="I167" t="s">
        <v>78</v>
      </c>
      <c r="J167" t="s">
        <v>238</v>
      </c>
      <c r="K167" t="s">
        <v>239</v>
      </c>
      <c r="L167" t="s">
        <v>239</v>
      </c>
      <c r="M167" t="s">
        <v>212</v>
      </c>
      <c r="N167" t="s">
        <v>297</v>
      </c>
      <c r="O167" t="s">
        <v>28</v>
      </c>
      <c r="P167" t="s">
        <v>28</v>
      </c>
      <c r="Q167" t="s">
        <v>77</v>
      </c>
      <c r="R167" t="s">
        <v>760</v>
      </c>
      <c r="S167" t="s">
        <v>695</v>
      </c>
      <c r="T167" t="s">
        <v>761</v>
      </c>
    </row>
    <row r="168" spans="1:20" x14ac:dyDescent="0.25">
      <c r="A168" t="s">
        <v>759</v>
      </c>
      <c r="B168" t="s">
        <v>23</v>
      </c>
      <c r="C168" t="s">
        <v>24</v>
      </c>
      <c r="D168" t="s">
        <v>693</v>
      </c>
      <c r="E168" t="s">
        <v>292</v>
      </c>
      <c r="F168" t="s">
        <v>293</v>
      </c>
      <c r="G168" t="s">
        <v>77</v>
      </c>
      <c r="H168" t="s">
        <v>294</v>
      </c>
      <c r="I168" t="s">
        <v>78</v>
      </c>
      <c r="J168" t="s">
        <v>253</v>
      </c>
      <c r="K168" t="s">
        <v>259</v>
      </c>
      <c r="L168" t="s">
        <v>285</v>
      </c>
      <c r="M168" t="s">
        <v>212</v>
      </c>
      <c r="N168" t="s">
        <v>297</v>
      </c>
      <c r="O168" t="s">
        <v>28</v>
      </c>
      <c r="P168" t="s">
        <v>28</v>
      </c>
      <c r="Q168" t="s">
        <v>77</v>
      </c>
      <c r="R168" t="s">
        <v>760</v>
      </c>
      <c r="S168" t="s">
        <v>695</v>
      </c>
      <c r="T168" t="s">
        <v>761</v>
      </c>
    </row>
    <row r="169" spans="1:20" x14ac:dyDescent="0.25">
      <c r="A169" t="s">
        <v>762</v>
      </c>
      <c r="B169" t="s">
        <v>23</v>
      </c>
      <c r="C169" t="s">
        <v>24</v>
      </c>
      <c r="D169" t="s">
        <v>693</v>
      </c>
      <c r="E169" t="s">
        <v>763</v>
      </c>
      <c r="F169" t="s">
        <v>208</v>
      </c>
      <c r="G169" t="s">
        <v>26</v>
      </c>
      <c r="H169" t="s">
        <v>209</v>
      </c>
      <c r="I169" t="s">
        <v>27</v>
      </c>
      <c r="J169" t="s">
        <v>216</v>
      </c>
      <c r="K169" t="s">
        <v>217</v>
      </c>
      <c r="L169" t="s">
        <v>217</v>
      </c>
      <c r="M169" t="s">
        <v>212</v>
      </c>
      <c r="N169" t="s">
        <v>213</v>
      </c>
      <c r="O169" t="s">
        <v>43</v>
      </c>
      <c r="P169" t="s">
        <v>28</v>
      </c>
      <c r="Q169" t="s">
        <v>27</v>
      </c>
      <c r="R169" t="s">
        <v>764</v>
      </c>
      <c r="S169" t="s">
        <v>47</v>
      </c>
      <c r="T169" t="s">
        <v>765</v>
      </c>
    </row>
    <row r="170" spans="1:20" x14ac:dyDescent="0.25">
      <c r="A170" t="s">
        <v>762</v>
      </c>
      <c r="B170" t="s">
        <v>23</v>
      </c>
      <c r="C170" t="s">
        <v>24</v>
      </c>
      <c r="D170" t="s">
        <v>693</v>
      </c>
      <c r="E170" t="s">
        <v>763</v>
      </c>
      <c r="F170" t="s">
        <v>208</v>
      </c>
      <c r="G170" t="s">
        <v>26</v>
      </c>
      <c r="H170" t="s">
        <v>209</v>
      </c>
      <c r="I170" t="s">
        <v>27</v>
      </c>
      <c r="J170" t="s">
        <v>230</v>
      </c>
      <c r="K170" t="s">
        <v>221</v>
      </c>
      <c r="L170" t="s">
        <v>221</v>
      </c>
      <c r="M170" t="s">
        <v>212</v>
      </c>
      <c r="N170" t="s">
        <v>213</v>
      </c>
      <c r="O170" t="s">
        <v>43</v>
      </c>
      <c r="P170" t="s">
        <v>28</v>
      </c>
      <c r="Q170" t="s">
        <v>27</v>
      </c>
      <c r="R170" t="s">
        <v>764</v>
      </c>
      <c r="S170" t="s">
        <v>47</v>
      </c>
      <c r="T170" t="s">
        <v>765</v>
      </c>
    </row>
    <row r="171" spans="1:20" x14ac:dyDescent="0.25">
      <c r="A171" t="s">
        <v>762</v>
      </c>
      <c r="B171" t="s">
        <v>23</v>
      </c>
      <c r="C171" t="s">
        <v>24</v>
      </c>
      <c r="D171" t="s">
        <v>693</v>
      </c>
      <c r="E171" t="s">
        <v>763</v>
      </c>
      <c r="F171" t="s">
        <v>208</v>
      </c>
      <c r="G171" t="s">
        <v>26</v>
      </c>
      <c r="H171" t="s">
        <v>209</v>
      </c>
      <c r="I171" t="s">
        <v>27</v>
      </c>
      <c r="J171" t="s">
        <v>222</v>
      </c>
      <c r="K171" t="s">
        <v>237</v>
      </c>
      <c r="L171" t="s">
        <v>237</v>
      </c>
      <c r="M171" t="s">
        <v>212</v>
      </c>
      <c r="N171" t="s">
        <v>213</v>
      </c>
      <c r="O171" t="s">
        <v>43</v>
      </c>
      <c r="P171" t="s">
        <v>28</v>
      </c>
      <c r="Q171" t="s">
        <v>27</v>
      </c>
      <c r="R171" t="s">
        <v>764</v>
      </c>
      <c r="S171" t="s">
        <v>47</v>
      </c>
      <c r="T171" t="s">
        <v>765</v>
      </c>
    </row>
    <row r="172" spans="1:20" x14ac:dyDescent="0.25">
      <c r="A172" t="s">
        <v>766</v>
      </c>
      <c r="B172" t="s">
        <v>23</v>
      </c>
      <c r="C172" t="s">
        <v>24</v>
      </c>
      <c r="D172" t="s">
        <v>693</v>
      </c>
      <c r="E172" t="s">
        <v>67</v>
      </c>
      <c r="F172" t="s">
        <v>323</v>
      </c>
      <c r="G172" t="s">
        <v>68</v>
      </c>
      <c r="H172" t="s">
        <v>324</v>
      </c>
      <c r="I172" t="s">
        <v>69</v>
      </c>
      <c r="J172" t="s">
        <v>222</v>
      </c>
      <c r="K172" t="s">
        <v>237</v>
      </c>
      <c r="L172" t="s">
        <v>237</v>
      </c>
      <c r="M172" t="s">
        <v>212</v>
      </c>
      <c r="N172" t="s">
        <v>213</v>
      </c>
      <c r="O172" t="s">
        <v>28</v>
      </c>
      <c r="P172" t="s">
        <v>28</v>
      </c>
      <c r="Q172" t="s">
        <v>68</v>
      </c>
      <c r="R172" t="s">
        <v>767</v>
      </c>
      <c r="S172" t="s">
        <v>47</v>
      </c>
      <c r="T172" t="s">
        <v>768</v>
      </c>
    </row>
    <row r="173" spans="1:20" x14ac:dyDescent="0.25">
      <c r="A173" t="s">
        <v>766</v>
      </c>
      <c r="B173" t="s">
        <v>23</v>
      </c>
      <c r="C173" t="s">
        <v>24</v>
      </c>
      <c r="D173" t="s">
        <v>693</v>
      </c>
      <c r="E173" t="s">
        <v>67</v>
      </c>
      <c r="F173" t="s">
        <v>323</v>
      </c>
      <c r="G173" t="s">
        <v>68</v>
      </c>
      <c r="H173" t="s">
        <v>324</v>
      </c>
      <c r="I173" t="s">
        <v>69</v>
      </c>
      <c r="J173" t="s">
        <v>258</v>
      </c>
      <c r="K173" t="s">
        <v>240</v>
      </c>
      <c r="L173" t="s">
        <v>240</v>
      </c>
      <c r="M173" t="s">
        <v>212</v>
      </c>
      <c r="N173" t="s">
        <v>213</v>
      </c>
      <c r="O173" t="s">
        <v>28</v>
      </c>
      <c r="P173" t="s">
        <v>28</v>
      </c>
      <c r="Q173" t="s">
        <v>68</v>
      </c>
      <c r="R173" t="s">
        <v>767</v>
      </c>
      <c r="S173" t="s">
        <v>47</v>
      </c>
      <c r="T173" t="s">
        <v>768</v>
      </c>
    </row>
    <row r="174" spans="1:20" x14ac:dyDescent="0.25">
      <c r="A174" t="s">
        <v>766</v>
      </c>
      <c r="B174" t="s">
        <v>23</v>
      </c>
      <c r="C174" t="s">
        <v>24</v>
      </c>
      <c r="D174" t="s">
        <v>693</v>
      </c>
      <c r="E174" t="s">
        <v>67</v>
      </c>
      <c r="F174" t="s">
        <v>323</v>
      </c>
      <c r="G174" t="s">
        <v>68</v>
      </c>
      <c r="H174" t="s">
        <v>324</v>
      </c>
      <c r="I174" t="s">
        <v>69</v>
      </c>
      <c r="J174" t="s">
        <v>230</v>
      </c>
      <c r="K174" t="s">
        <v>221</v>
      </c>
      <c r="L174" t="s">
        <v>221</v>
      </c>
      <c r="M174" t="s">
        <v>212</v>
      </c>
      <c r="N174" t="s">
        <v>213</v>
      </c>
      <c r="O174" t="s">
        <v>28</v>
      </c>
      <c r="P174" t="s">
        <v>28</v>
      </c>
      <c r="Q174" t="s">
        <v>68</v>
      </c>
      <c r="R174" t="s">
        <v>767</v>
      </c>
      <c r="S174" t="s">
        <v>47</v>
      </c>
      <c r="T174" t="s">
        <v>768</v>
      </c>
    </row>
    <row r="175" spans="1:20" x14ac:dyDescent="0.25">
      <c r="A175" t="s">
        <v>766</v>
      </c>
      <c r="B175" t="s">
        <v>23</v>
      </c>
      <c r="C175" t="s">
        <v>24</v>
      </c>
      <c r="D175" t="s">
        <v>693</v>
      </c>
      <c r="E175" t="s">
        <v>67</v>
      </c>
      <c r="F175" t="s">
        <v>323</v>
      </c>
      <c r="G175" t="s">
        <v>68</v>
      </c>
      <c r="H175" t="s">
        <v>324</v>
      </c>
      <c r="I175" t="s">
        <v>69</v>
      </c>
      <c r="J175" t="s">
        <v>216</v>
      </c>
      <c r="K175" t="s">
        <v>236</v>
      </c>
      <c r="L175" t="s">
        <v>225</v>
      </c>
      <c r="M175" t="s">
        <v>212</v>
      </c>
      <c r="N175" t="s">
        <v>213</v>
      </c>
      <c r="O175" t="s">
        <v>28</v>
      </c>
      <c r="P175" t="s">
        <v>28</v>
      </c>
      <c r="Q175" t="s">
        <v>68</v>
      </c>
      <c r="R175" t="s">
        <v>767</v>
      </c>
      <c r="S175" t="s">
        <v>47</v>
      </c>
      <c r="T175" t="s">
        <v>768</v>
      </c>
    </row>
    <row r="176" spans="1:20" x14ac:dyDescent="0.25">
      <c r="A176" t="s">
        <v>769</v>
      </c>
      <c r="B176" t="s">
        <v>23</v>
      </c>
      <c r="C176" t="s">
        <v>38</v>
      </c>
      <c r="D176" t="s">
        <v>693</v>
      </c>
      <c r="E176" t="s">
        <v>161</v>
      </c>
      <c r="F176" t="s">
        <v>252</v>
      </c>
      <c r="G176" t="s">
        <v>138</v>
      </c>
      <c r="H176" t="s">
        <v>408</v>
      </c>
      <c r="I176" t="s">
        <v>409</v>
      </c>
      <c r="J176" t="s">
        <v>224</v>
      </c>
      <c r="K176" t="s">
        <v>237</v>
      </c>
      <c r="L176" t="s">
        <v>223</v>
      </c>
      <c r="M176" t="s">
        <v>212</v>
      </c>
      <c r="N176" t="s">
        <v>213</v>
      </c>
      <c r="O176" t="s">
        <v>28</v>
      </c>
      <c r="P176" t="s">
        <v>28</v>
      </c>
      <c r="Q176" t="s">
        <v>138</v>
      </c>
      <c r="R176" t="s">
        <v>770</v>
      </c>
      <c r="S176" t="s">
        <v>47</v>
      </c>
      <c r="T176" t="s">
        <v>771</v>
      </c>
    </row>
    <row r="177" spans="1:20" x14ac:dyDescent="0.25">
      <c r="A177" t="s">
        <v>769</v>
      </c>
      <c r="B177" t="s">
        <v>23</v>
      </c>
      <c r="C177" t="s">
        <v>38</v>
      </c>
      <c r="D177" t="s">
        <v>693</v>
      </c>
      <c r="E177" t="s">
        <v>161</v>
      </c>
      <c r="F177" t="s">
        <v>252</v>
      </c>
      <c r="G177" t="s">
        <v>138</v>
      </c>
      <c r="H177" t="s">
        <v>408</v>
      </c>
      <c r="I177" t="s">
        <v>409</v>
      </c>
      <c r="J177" t="s">
        <v>216</v>
      </c>
      <c r="K177" t="s">
        <v>225</v>
      </c>
      <c r="L177" t="s">
        <v>225</v>
      </c>
      <c r="M177" t="s">
        <v>212</v>
      </c>
      <c r="N177" t="s">
        <v>213</v>
      </c>
      <c r="O177" t="s">
        <v>28</v>
      </c>
      <c r="P177" t="s">
        <v>28</v>
      </c>
      <c r="Q177" t="s">
        <v>138</v>
      </c>
      <c r="R177" t="s">
        <v>770</v>
      </c>
      <c r="S177" t="s">
        <v>47</v>
      </c>
      <c r="T177" t="s">
        <v>771</v>
      </c>
    </row>
    <row r="178" spans="1:20" x14ac:dyDescent="0.25">
      <c r="A178" t="s">
        <v>769</v>
      </c>
      <c r="B178" t="s">
        <v>23</v>
      </c>
      <c r="C178" t="s">
        <v>38</v>
      </c>
      <c r="D178" t="s">
        <v>693</v>
      </c>
      <c r="E178" t="s">
        <v>161</v>
      </c>
      <c r="F178" t="s">
        <v>252</v>
      </c>
      <c r="G178" t="s">
        <v>138</v>
      </c>
      <c r="H178" t="s">
        <v>408</v>
      </c>
      <c r="I178" t="s">
        <v>409</v>
      </c>
      <c r="J178" t="s">
        <v>230</v>
      </c>
      <c r="K178" t="s">
        <v>221</v>
      </c>
      <c r="L178" t="s">
        <v>221</v>
      </c>
      <c r="M178" t="s">
        <v>212</v>
      </c>
      <c r="N178" t="s">
        <v>213</v>
      </c>
      <c r="O178" t="s">
        <v>28</v>
      </c>
      <c r="P178" t="s">
        <v>28</v>
      </c>
      <c r="Q178" t="s">
        <v>138</v>
      </c>
      <c r="R178" t="s">
        <v>770</v>
      </c>
      <c r="S178" t="s">
        <v>47</v>
      </c>
      <c r="T178" t="s">
        <v>771</v>
      </c>
    </row>
    <row r="179" spans="1:20" x14ac:dyDescent="0.25">
      <c r="A179" t="s">
        <v>769</v>
      </c>
      <c r="B179" t="s">
        <v>23</v>
      </c>
      <c r="C179" t="s">
        <v>38</v>
      </c>
      <c r="D179" t="s">
        <v>693</v>
      </c>
      <c r="E179" t="s">
        <v>161</v>
      </c>
      <c r="F179" t="s">
        <v>252</v>
      </c>
      <c r="G179" t="s">
        <v>138</v>
      </c>
      <c r="H179" t="s">
        <v>408</v>
      </c>
      <c r="I179" t="s">
        <v>409</v>
      </c>
      <c r="J179" t="s">
        <v>222</v>
      </c>
      <c r="K179" t="s">
        <v>237</v>
      </c>
      <c r="L179" t="s">
        <v>237</v>
      </c>
      <c r="M179" t="s">
        <v>212</v>
      </c>
      <c r="N179" t="s">
        <v>213</v>
      </c>
      <c r="O179" t="s">
        <v>28</v>
      </c>
      <c r="P179" t="s">
        <v>28</v>
      </c>
      <c r="Q179" t="s">
        <v>138</v>
      </c>
      <c r="R179" t="s">
        <v>770</v>
      </c>
      <c r="S179" t="s">
        <v>47</v>
      </c>
      <c r="T179" t="s">
        <v>771</v>
      </c>
    </row>
    <row r="180" spans="1:20" x14ac:dyDescent="0.25">
      <c r="A180" t="s">
        <v>772</v>
      </c>
      <c r="B180" t="s">
        <v>23</v>
      </c>
      <c r="C180" t="s">
        <v>24</v>
      </c>
      <c r="D180" t="s">
        <v>693</v>
      </c>
      <c r="E180" t="s">
        <v>773</v>
      </c>
      <c r="F180" t="s">
        <v>320</v>
      </c>
      <c r="G180" t="s">
        <v>59</v>
      </c>
      <c r="H180" t="s">
        <v>321</v>
      </c>
      <c r="I180" t="s">
        <v>60</v>
      </c>
      <c r="J180" t="s">
        <v>230</v>
      </c>
      <c r="K180" t="s">
        <v>240</v>
      </c>
      <c r="L180" t="s">
        <v>240</v>
      </c>
      <c r="M180" t="s">
        <v>212</v>
      </c>
      <c r="N180" t="s">
        <v>213</v>
      </c>
      <c r="O180" t="s">
        <v>28</v>
      </c>
      <c r="P180" t="s">
        <v>28</v>
      </c>
      <c r="Q180" t="s">
        <v>59</v>
      </c>
      <c r="R180" t="s">
        <v>774</v>
      </c>
      <c r="S180" t="s">
        <v>47</v>
      </c>
      <c r="T180" t="s">
        <v>775</v>
      </c>
    </row>
    <row r="181" spans="1:20" x14ac:dyDescent="0.25">
      <c r="A181" t="s">
        <v>776</v>
      </c>
      <c r="B181" t="s">
        <v>23</v>
      </c>
      <c r="C181" t="s">
        <v>24</v>
      </c>
      <c r="D181" t="s">
        <v>693</v>
      </c>
      <c r="E181" t="s">
        <v>438</v>
      </c>
      <c r="F181" t="s">
        <v>272</v>
      </c>
      <c r="G181" t="s">
        <v>61</v>
      </c>
      <c r="H181" t="s">
        <v>777</v>
      </c>
      <c r="I181" t="s">
        <v>778</v>
      </c>
      <c r="J181" t="s">
        <v>230</v>
      </c>
      <c r="K181" t="s">
        <v>221</v>
      </c>
      <c r="L181" t="s">
        <v>221</v>
      </c>
      <c r="M181" t="s">
        <v>212</v>
      </c>
      <c r="N181" t="s">
        <v>213</v>
      </c>
      <c r="O181" t="s">
        <v>28</v>
      </c>
      <c r="P181" t="s">
        <v>28</v>
      </c>
      <c r="Q181" t="s">
        <v>163</v>
      </c>
      <c r="R181" t="s">
        <v>779</v>
      </c>
      <c r="S181" t="s">
        <v>33</v>
      </c>
      <c r="T181" t="s">
        <v>780</v>
      </c>
    </row>
    <row r="182" spans="1:20" x14ac:dyDescent="0.25">
      <c r="A182" t="s">
        <v>776</v>
      </c>
      <c r="B182" t="s">
        <v>23</v>
      </c>
      <c r="C182" t="s">
        <v>24</v>
      </c>
      <c r="D182" t="s">
        <v>693</v>
      </c>
      <c r="E182" t="s">
        <v>438</v>
      </c>
      <c r="F182" t="s">
        <v>272</v>
      </c>
      <c r="G182" t="s">
        <v>61</v>
      </c>
      <c r="H182" t="s">
        <v>777</v>
      </c>
      <c r="I182" t="s">
        <v>778</v>
      </c>
      <c r="J182" t="s">
        <v>393</v>
      </c>
      <c r="K182" t="s">
        <v>219</v>
      </c>
      <c r="L182" t="s">
        <v>219</v>
      </c>
      <c r="M182" t="s">
        <v>212</v>
      </c>
      <c r="N182" t="s">
        <v>213</v>
      </c>
      <c r="O182" t="s">
        <v>28</v>
      </c>
      <c r="P182" t="s">
        <v>28</v>
      </c>
      <c r="Q182" t="s">
        <v>163</v>
      </c>
      <c r="R182" t="s">
        <v>779</v>
      </c>
      <c r="S182" t="s">
        <v>33</v>
      </c>
      <c r="T182" t="s">
        <v>780</v>
      </c>
    </row>
    <row r="183" spans="1:20" x14ac:dyDescent="0.25">
      <c r="A183" t="s">
        <v>776</v>
      </c>
      <c r="B183" t="s">
        <v>23</v>
      </c>
      <c r="C183" t="s">
        <v>24</v>
      </c>
      <c r="D183" t="s">
        <v>693</v>
      </c>
      <c r="E183" t="s">
        <v>438</v>
      </c>
      <c r="F183" t="s">
        <v>272</v>
      </c>
      <c r="G183" t="s">
        <v>61</v>
      </c>
      <c r="H183" t="s">
        <v>777</v>
      </c>
      <c r="I183" t="s">
        <v>778</v>
      </c>
      <c r="J183" t="s">
        <v>218</v>
      </c>
      <c r="K183" t="s">
        <v>219</v>
      </c>
      <c r="L183" t="s">
        <v>219</v>
      </c>
      <c r="M183" t="s">
        <v>212</v>
      </c>
      <c r="N183" t="s">
        <v>213</v>
      </c>
      <c r="O183" t="s">
        <v>28</v>
      </c>
      <c r="P183" t="s">
        <v>28</v>
      </c>
      <c r="Q183" t="s">
        <v>163</v>
      </c>
      <c r="R183" t="s">
        <v>779</v>
      </c>
      <c r="S183" t="s">
        <v>33</v>
      </c>
      <c r="T183" t="s">
        <v>780</v>
      </c>
    </row>
    <row r="184" spans="1:20" x14ac:dyDescent="0.25">
      <c r="A184" t="s">
        <v>781</v>
      </c>
      <c r="B184" t="s">
        <v>23</v>
      </c>
      <c r="C184" t="s">
        <v>38</v>
      </c>
      <c r="D184" t="s">
        <v>693</v>
      </c>
      <c r="E184" t="s">
        <v>165</v>
      </c>
      <c r="F184" t="s">
        <v>250</v>
      </c>
      <c r="G184" t="s">
        <v>166</v>
      </c>
      <c r="H184" t="s">
        <v>251</v>
      </c>
      <c r="I184" t="s">
        <v>167</v>
      </c>
      <c r="J184" t="s">
        <v>229</v>
      </c>
      <c r="K184" t="s">
        <v>217</v>
      </c>
      <c r="L184" t="s">
        <v>217</v>
      </c>
      <c r="M184" t="s">
        <v>212</v>
      </c>
      <c r="N184" t="s">
        <v>213</v>
      </c>
      <c r="O184" t="s">
        <v>28</v>
      </c>
      <c r="P184" t="s">
        <v>28</v>
      </c>
      <c r="Q184" t="s">
        <v>166</v>
      </c>
      <c r="R184" t="s">
        <v>782</v>
      </c>
      <c r="S184" t="s">
        <v>47</v>
      </c>
      <c r="T184" t="s">
        <v>783</v>
      </c>
    </row>
    <row r="185" spans="1:20" x14ac:dyDescent="0.25">
      <c r="A185" t="s">
        <v>781</v>
      </c>
      <c r="B185" t="s">
        <v>23</v>
      </c>
      <c r="C185" t="s">
        <v>38</v>
      </c>
      <c r="D185" t="s">
        <v>693</v>
      </c>
      <c r="E185" t="s">
        <v>165</v>
      </c>
      <c r="F185" t="s">
        <v>250</v>
      </c>
      <c r="G185" t="s">
        <v>166</v>
      </c>
      <c r="H185" t="s">
        <v>251</v>
      </c>
      <c r="I185" t="s">
        <v>167</v>
      </c>
      <c r="J185" t="s">
        <v>210</v>
      </c>
      <c r="K185" t="s">
        <v>236</v>
      </c>
      <c r="L185" t="s">
        <v>236</v>
      </c>
      <c r="M185" t="s">
        <v>212</v>
      </c>
      <c r="N185" t="s">
        <v>213</v>
      </c>
      <c r="O185" t="s">
        <v>28</v>
      </c>
      <c r="P185" t="s">
        <v>28</v>
      </c>
      <c r="Q185" t="s">
        <v>166</v>
      </c>
      <c r="R185" t="s">
        <v>782</v>
      </c>
      <c r="S185" t="s">
        <v>47</v>
      </c>
      <c r="T185" t="s">
        <v>783</v>
      </c>
    </row>
    <row r="186" spans="1:20" x14ac:dyDescent="0.25">
      <c r="A186" t="s">
        <v>784</v>
      </c>
      <c r="B186" t="s">
        <v>23</v>
      </c>
      <c r="C186" t="s">
        <v>24</v>
      </c>
      <c r="D186" t="s">
        <v>693</v>
      </c>
      <c r="E186" t="s">
        <v>407</v>
      </c>
      <c r="F186" t="s">
        <v>331</v>
      </c>
      <c r="G186" t="s">
        <v>146</v>
      </c>
      <c r="H186" t="s">
        <v>332</v>
      </c>
      <c r="I186" t="s">
        <v>147</v>
      </c>
      <c r="J186" t="s">
        <v>222</v>
      </c>
      <c r="K186" t="s">
        <v>223</v>
      </c>
      <c r="L186" t="s">
        <v>237</v>
      </c>
      <c r="M186" t="s">
        <v>212</v>
      </c>
      <c r="N186" t="s">
        <v>213</v>
      </c>
      <c r="O186" t="s">
        <v>28</v>
      </c>
      <c r="P186" t="s">
        <v>28</v>
      </c>
      <c r="Q186" t="s">
        <v>146</v>
      </c>
      <c r="R186" t="s">
        <v>785</v>
      </c>
      <c r="S186" t="s">
        <v>47</v>
      </c>
      <c r="T186" t="s">
        <v>786</v>
      </c>
    </row>
    <row r="187" spans="1:20" x14ac:dyDescent="0.25">
      <c r="A187" t="s">
        <v>784</v>
      </c>
      <c r="B187" t="s">
        <v>23</v>
      </c>
      <c r="C187" t="s">
        <v>24</v>
      </c>
      <c r="D187" t="s">
        <v>693</v>
      </c>
      <c r="E187" t="s">
        <v>407</v>
      </c>
      <c r="F187" t="s">
        <v>331</v>
      </c>
      <c r="G187" t="s">
        <v>146</v>
      </c>
      <c r="H187" t="s">
        <v>332</v>
      </c>
      <c r="I187" t="s">
        <v>147</v>
      </c>
      <c r="J187" t="s">
        <v>216</v>
      </c>
      <c r="K187" t="s">
        <v>217</v>
      </c>
      <c r="L187" t="s">
        <v>225</v>
      </c>
      <c r="M187" t="s">
        <v>212</v>
      </c>
      <c r="N187" t="s">
        <v>213</v>
      </c>
      <c r="O187" t="s">
        <v>28</v>
      </c>
      <c r="P187" t="s">
        <v>28</v>
      </c>
      <c r="Q187" t="s">
        <v>146</v>
      </c>
      <c r="R187" t="s">
        <v>785</v>
      </c>
      <c r="S187" t="s">
        <v>47</v>
      </c>
      <c r="T187" t="s">
        <v>786</v>
      </c>
    </row>
    <row r="188" spans="1:20" x14ac:dyDescent="0.25">
      <c r="A188" t="s">
        <v>784</v>
      </c>
      <c r="B188" t="s">
        <v>23</v>
      </c>
      <c r="C188" t="s">
        <v>24</v>
      </c>
      <c r="D188" t="s">
        <v>693</v>
      </c>
      <c r="E188" t="s">
        <v>407</v>
      </c>
      <c r="F188" t="s">
        <v>331</v>
      </c>
      <c r="G188" t="s">
        <v>146</v>
      </c>
      <c r="H188" t="s">
        <v>332</v>
      </c>
      <c r="I188" t="s">
        <v>147</v>
      </c>
      <c r="J188" t="s">
        <v>284</v>
      </c>
      <c r="K188" t="s">
        <v>223</v>
      </c>
      <c r="L188" t="s">
        <v>787</v>
      </c>
      <c r="M188" t="s">
        <v>212</v>
      </c>
      <c r="N188" t="s">
        <v>213</v>
      </c>
      <c r="O188" t="s">
        <v>28</v>
      </c>
      <c r="P188" t="s">
        <v>28</v>
      </c>
      <c r="Q188" t="s">
        <v>146</v>
      </c>
      <c r="R188" t="s">
        <v>785</v>
      </c>
      <c r="S188" t="s">
        <v>47</v>
      </c>
      <c r="T188" t="s">
        <v>786</v>
      </c>
    </row>
    <row r="189" spans="1:20" x14ac:dyDescent="0.25">
      <c r="A189" t="s">
        <v>784</v>
      </c>
      <c r="B189" t="s">
        <v>23</v>
      </c>
      <c r="C189" t="s">
        <v>24</v>
      </c>
      <c r="D189" t="s">
        <v>693</v>
      </c>
      <c r="E189" t="s">
        <v>407</v>
      </c>
      <c r="F189" t="s">
        <v>331</v>
      </c>
      <c r="G189" t="s">
        <v>146</v>
      </c>
      <c r="H189" t="s">
        <v>332</v>
      </c>
      <c r="I189" t="s">
        <v>147</v>
      </c>
      <c r="J189" t="s">
        <v>253</v>
      </c>
      <c r="K189" t="s">
        <v>239</v>
      </c>
      <c r="L189" t="s">
        <v>698</v>
      </c>
      <c r="M189" t="s">
        <v>212</v>
      </c>
      <c r="N189" t="s">
        <v>213</v>
      </c>
      <c r="O189" t="s">
        <v>28</v>
      </c>
      <c r="P189" t="s">
        <v>28</v>
      </c>
      <c r="Q189" t="s">
        <v>146</v>
      </c>
      <c r="R189" t="s">
        <v>785</v>
      </c>
      <c r="S189" t="s">
        <v>47</v>
      </c>
      <c r="T189" t="s">
        <v>786</v>
      </c>
    </row>
    <row r="190" spans="1:20" x14ac:dyDescent="0.25">
      <c r="A190" t="s">
        <v>788</v>
      </c>
      <c r="B190" t="s">
        <v>23</v>
      </c>
      <c r="C190" t="s">
        <v>24</v>
      </c>
      <c r="D190" t="s">
        <v>693</v>
      </c>
      <c r="E190" t="s">
        <v>421</v>
      </c>
      <c r="F190" t="s">
        <v>422</v>
      </c>
      <c r="G190" t="s">
        <v>423</v>
      </c>
      <c r="H190" t="s">
        <v>625</v>
      </c>
      <c r="I190" t="s">
        <v>131</v>
      </c>
      <c r="J190" t="s">
        <v>216</v>
      </c>
      <c r="K190" t="s">
        <v>217</v>
      </c>
      <c r="L190" t="s">
        <v>217</v>
      </c>
      <c r="M190" t="s">
        <v>212</v>
      </c>
      <c r="N190" t="s">
        <v>213</v>
      </c>
      <c r="O190" t="s">
        <v>28</v>
      </c>
      <c r="P190" t="s">
        <v>28</v>
      </c>
      <c r="Q190" t="s">
        <v>423</v>
      </c>
      <c r="R190" t="s">
        <v>789</v>
      </c>
      <c r="S190" t="s">
        <v>33</v>
      </c>
      <c r="T190" t="s">
        <v>790</v>
      </c>
    </row>
    <row r="191" spans="1:20" x14ac:dyDescent="0.25">
      <c r="A191" t="s">
        <v>788</v>
      </c>
      <c r="B191" t="s">
        <v>23</v>
      </c>
      <c r="C191" t="s">
        <v>24</v>
      </c>
      <c r="D191" t="s">
        <v>693</v>
      </c>
      <c r="E191" t="s">
        <v>421</v>
      </c>
      <c r="F191" t="s">
        <v>422</v>
      </c>
      <c r="G191" t="s">
        <v>423</v>
      </c>
      <c r="H191" t="s">
        <v>625</v>
      </c>
      <c r="I191" t="s">
        <v>131</v>
      </c>
      <c r="J191" t="s">
        <v>224</v>
      </c>
      <c r="K191" t="s">
        <v>223</v>
      </c>
      <c r="L191" t="s">
        <v>223</v>
      </c>
      <c r="M191" t="s">
        <v>212</v>
      </c>
      <c r="N191" t="s">
        <v>213</v>
      </c>
      <c r="O191" t="s">
        <v>28</v>
      </c>
      <c r="P191" t="s">
        <v>28</v>
      </c>
      <c r="Q191" t="s">
        <v>423</v>
      </c>
      <c r="R191" t="s">
        <v>789</v>
      </c>
      <c r="S191" t="s">
        <v>33</v>
      </c>
      <c r="T191" t="s">
        <v>790</v>
      </c>
    </row>
    <row r="192" spans="1:20" x14ac:dyDescent="0.25">
      <c r="A192" t="s">
        <v>791</v>
      </c>
      <c r="B192" t="s">
        <v>23</v>
      </c>
      <c r="C192" t="s">
        <v>37</v>
      </c>
      <c r="D192" t="s">
        <v>693</v>
      </c>
      <c r="E192" t="s">
        <v>792</v>
      </c>
      <c r="F192" t="s">
        <v>793</v>
      </c>
      <c r="G192" t="s">
        <v>794</v>
      </c>
      <c r="H192" t="s">
        <v>795</v>
      </c>
      <c r="I192" t="s">
        <v>796</v>
      </c>
      <c r="J192" t="s">
        <v>257</v>
      </c>
      <c r="K192" t="s">
        <v>240</v>
      </c>
      <c r="L192" t="s">
        <v>240</v>
      </c>
      <c r="M192" t="s">
        <v>212</v>
      </c>
      <c r="N192" t="s">
        <v>213</v>
      </c>
      <c r="O192" t="s">
        <v>28</v>
      </c>
      <c r="P192" t="s">
        <v>28</v>
      </c>
      <c r="Q192" t="s">
        <v>794</v>
      </c>
      <c r="R192" t="s">
        <v>797</v>
      </c>
      <c r="S192" t="s">
        <v>33</v>
      </c>
      <c r="T192" t="s">
        <v>798</v>
      </c>
    </row>
    <row r="193" spans="1:20" x14ac:dyDescent="0.25">
      <c r="A193" t="s">
        <v>791</v>
      </c>
      <c r="B193" t="s">
        <v>23</v>
      </c>
      <c r="C193" t="s">
        <v>37</v>
      </c>
      <c r="D193" t="s">
        <v>693</v>
      </c>
      <c r="E193" t="s">
        <v>792</v>
      </c>
      <c r="F193" t="s">
        <v>793</v>
      </c>
      <c r="G193" t="s">
        <v>794</v>
      </c>
      <c r="H193" t="s">
        <v>795</v>
      </c>
      <c r="I193" t="s">
        <v>796</v>
      </c>
      <c r="J193" t="s">
        <v>216</v>
      </c>
      <c r="K193" t="s">
        <v>217</v>
      </c>
      <c r="L193" t="s">
        <v>225</v>
      </c>
      <c r="M193" t="s">
        <v>212</v>
      </c>
      <c r="N193" t="s">
        <v>213</v>
      </c>
      <c r="O193" t="s">
        <v>28</v>
      </c>
      <c r="P193" t="s">
        <v>28</v>
      </c>
      <c r="Q193" t="s">
        <v>794</v>
      </c>
      <c r="R193" t="s">
        <v>797</v>
      </c>
      <c r="S193" t="s">
        <v>33</v>
      </c>
      <c r="T193" t="s">
        <v>798</v>
      </c>
    </row>
    <row r="194" spans="1:20" x14ac:dyDescent="0.25">
      <c r="A194" t="s">
        <v>799</v>
      </c>
      <c r="B194" t="s">
        <v>23</v>
      </c>
      <c r="C194" t="s">
        <v>38</v>
      </c>
      <c r="D194" t="s">
        <v>693</v>
      </c>
      <c r="E194" t="s">
        <v>800</v>
      </c>
      <c r="F194" t="s">
        <v>241</v>
      </c>
      <c r="G194" t="s">
        <v>74</v>
      </c>
      <c r="H194" t="s">
        <v>242</v>
      </c>
      <c r="I194" t="s">
        <v>75</v>
      </c>
      <c r="J194" t="s">
        <v>230</v>
      </c>
      <c r="K194" t="s">
        <v>240</v>
      </c>
      <c r="L194" t="s">
        <v>240</v>
      </c>
      <c r="M194" t="s">
        <v>212</v>
      </c>
      <c r="N194" t="s">
        <v>801</v>
      </c>
      <c r="O194" t="s">
        <v>28</v>
      </c>
      <c r="P194" t="s">
        <v>28</v>
      </c>
      <c r="Q194" t="s">
        <v>74</v>
      </c>
      <c r="R194" t="s">
        <v>802</v>
      </c>
      <c r="S194" t="s">
        <v>47</v>
      </c>
      <c r="T194" t="s">
        <v>803</v>
      </c>
    </row>
    <row r="195" spans="1:20" x14ac:dyDescent="0.25">
      <c r="A195" t="s">
        <v>804</v>
      </c>
      <c r="B195" t="s">
        <v>23</v>
      </c>
      <c r="C195" t="s">
        <v>38</v>
      </c>
      <c r="D195" t="s">
        <v>693</v>
      </c>
      <c r="E195" t="s">
        <v>805</v>
      </c>
      <c r="F195" t="s">
        <v>260</v>
      </c>
      <c r="G195" t="s">
        <v>117</v>
      </c>
      <c r="H195" t="s">
        <v>261</v>
      </c>
      <c r="I195" t="s">
        <v>164</v>
      </c>
      <c r="J195" t="s">
        <v>253</v>
      </c>
      <c r="K195" t="s">
        <v>806</v>
      </c>
      <c r="L195" t="s">
        <v>806</v>
      </c>
      <c r="M195" t="s">
        <v>212</v>
      </c>
      <c r="N195" t="s">
        <v>213</v>
      </c>
      <c r="O195" t="s">
        <v>28</v>
      </c>
      <c r="P195" t="s">
        <v>28</v>
      </c>
      <c r="Q195" t="s">
        <v>117</v>
      </c>
      <c r="R195" t="s">
        <v>807</v>
      </c>
      <c r="S195" t="s">
        <v>47</v>
      </c>
      <c r="T195" t="s">
        <v>808</v>
      </c>
    </row>
    <row r="196" spans="1:20" x14ac:dyDescent="0.25">
      <c r="A196" t="s">
        <v>809</v>
      </c>
      <c r="B196" t="s">
        <v>23</v>
      </c>
      <c r="C196" t="s">
        <v>24</v>
      </c>
      <c r="D196" t="s">
        <v>693</v>
      </c>
      <c r="E196" t="s">
        <v>311</v>
      </c>
      <c r="F196" t="s">
        <v>248</v>
      </c>
      <c r="G196" t="s">
        <v>99</v>
      </c>
      <c r="H196" t="s">
        <v>249</v>
      </c>
      <c r="I196" t="s">
        <v>100</v>
      </c>
      <c r="J196" t="s">
        <v>222</v>
      </c>
      <c r="K196" t="s">
        <v>237</v>
      </c>
      <c r="L196" t="s">
        <v>237</v>
      </c>
      <c r="M196" t="s">
        <v>212</v>
      </c>
      <c r="N196" t="s">
        <v>213</v>
      </c>
      <c r="O196" t="s">
        <v>28</v>
      </c>
      <c r="P196" t="s">
        <v>28</v>
      </c>
      <c r="Q196" t="s">
        <v>99</v>
      </c>
      <c r="R196" t="s">
        <v>810</v>
      </c>
      <c r="S196" t="s">
        <v>47</v>
      </c>
      <c r="T196" t="s">
        <v>811</v>
      </c>
    </row>
    <row r="197" spans="1:20" x14ac:dyDescent="0.25">
      <c r="A197" t="s">
        <v>809</v>
      </c>
      <c r="B197" t="s">
        <v>23</v>
      </c>
      <c r="C197" t="s">
        <v>24</v>
      </c>
      <c r="D197" t="s">
        <v>693</v>
      </c>
      <c r="E197" t="s">
        <v>311</v>
      </c>
      <c r="F197" t="s">
        <v>248</v>
      </c>
      <c r="G197" t="s">
        <v>99</v>
      </c>
      <c r="H197" t="s">
        <v>249</v>
      </c>
      <c r="I197" t="s">
        <v>100</v>
      </c>
      <c r="J197" t="s">
        <v>230</v>
      </c>
      <c r="K197" t="s">
        <v>239</v>
      </c>
      <c r="L197" t="s">
        <v>239</v>
      </c>
      <c r="M197" t="s">
        <v>212</v>
      </c>
      <c r="N197" t="s">
        <v>213</v>
      </c>
      <c r="O197" t="s">
        <v>28</v>
      </c>
      <c r="P197" t="s">
        <v>28</v>
      </c>
      <c r="Q197" t="s">
        <v>99</v>
      </c>
      <c r="R197" t="s">
        <v>810</v>
      </c>
      <c r="S197" t="s">
        <v>47</v>
      </c>
      <c r="T197" t="s">
        <v>811</v>
      </c>
    </row>
    <row r="198" spans="1:20" x14ac:dyDescent="0.25">
      <c r="A198" t="s">
        <v>809</v>
      </c>
      <c r="B198" t="s">
        <v>23</v>
      </c>
      <c r="C198" t="s">
        <v>24</v>
      </c>
      <c r="D198" t="s">
        <v>693</v>
      </c>
      <c r="E198" t="s">
        <v>311</v>
      </c>
      <c r="F198" t="s">
        <v>248</v>
      </c>
      <c r="G198" t="s">
        <v>99</v>
      </c>
      <c r="H198" t="s">
        <v>249</v>
      </c>
      <c r="I198" t="s">
        <v>100</v>
      </c>
      <c r="J198" t="s">
        <v>274</v>
      </c>
      <c r="K198" t="s">
        <v>223</v>
      </c>
      <c r="L198" t="s">
        <v>223</v>
      </c>
      <c r="M198" t="s">
        <v>212</v>
      </c>
      <c r="N198" t="s">
        <v>213</v>
      </c>
      <c r="O198" t="s">
        <v>28</v>
      </c>
      <c r="P198" t="s">
        <v>28</v>
      </c>
      <c r="Q198" t="s">
        <v>99</v>
      </c>
      <c r="R198" t="s">
        <v>810</v>
      </c>
      <c r="S198" t="s">
        <v>47</v>
      </c>
      <c r="T198" t="s">
        <v>811</v>
      </c>
    </row>
    <row r="199" spans="1:20" x14ac:dyDescent="0.25">
      <c r="A199" t="s">
        <v>809</v>
      </c>
      <c r="B199" t="s">
        <v>23</v>
      </c>
      <c r="C199" t="s">
        <v>24</v>
      </c>
      <c r="D199" t="s">
        <v>693</v>
      </c>
      <c r="E199" t="s">
        <v>311</v>
      </c>
      <c r="F199" t="s">
        <v>248</v>
      </c>
      <c r="G199" t="s">
        <v>99</v>
      </c>
      <c r="H199" t="s">
        <v>249</v>
      </c>
      <c r="I199" t="s">
        <v>100</v>
      </c>
      <c r="J199" t="s">
        <v>224</v>
      </c>
      <c r="K199" t="s">
        <v>223</v>
      </c>
      <c r="L199" t="s">
        <v>223</v>
      </c>
      <c r="M199" t="s">
        <v>212</v>
      </c>
      <c r="N199" t="s">
        <v>213</v>
      </c>
      <c r="O199" t="s">
        <v>28</v>
      </c>
      <c r="P199" t="s">
        <v>28</v>
      </c>
      <c r="Q199" t="s">
        <v>99</v>
      </c>
      <c r="R199" t="s">
        <v>810</v>
      </c>
      <c r="S199" t="s">
        <v>47</v>
      </c>
      <c r="T199" t="s">
        <v>811</v>
      </c>
    </row>
    <row r="200" spans="1:20" x14ac:dyDescent="0.25">
      <c r="A200" t="s">
        <v>812</v>
      </c>
      <c r="B200" t="s">
        <v>23</v>
      </c>
      <c r="C200" t="s">
        <v>24</v>
      </c>
      <c r="D200" t="s">
        <v>693</v>
      </c>
      <c r="E200" t="s">
        <v>666</v>
      </c>
      <c r="F200" t="s">
        <v>433</v>
      </c>
      <c r="G200" t="s">
        <v>434</v>
      </c>
      <c r="H200" t="s">
        <v>435</v>
      </c>
      <c r="I200" t="s">
        <v>436</v>
      </c>
      <c r="J200" t="s">
        <v>230</v>
      </c>
      <c r="K200" t="s">
        <v>259</v>
      </c>
      <c r="L200" t="s">
        <v>259</v>
      </c>
      <c r="M200" t="s">
        <v>212</v>
      </c>
      <c r="N200" t="s">
        <v>213</v>
      </c>
      <c r="O200" t="s">
        <v>28</v>
      </c>
      <c r="P200" t="s">
        <v>28</v>
      </c>
      <c r="Q200" t="s">
        <v>436</v>
      </c>
      <c r="R200" t="s">
        <v>813</v>
      </c>
      <c r="S200" t="s">
        <v>47</v>
      </c>
      <c r="T200" t="s">
        <v>814</v>
      </c>
    </row>
    <row r="201" spans="1:20" x14ac:dyDescent="0.25">
      <c r="A201" t="s">
        <v>812</v>
      </c>
      <c r="B201" t="s">
        <v>23</v>
      </c>
      <c r="C201" t="s">
        <v>24</v>
      </c>
      <c r="D201" t="s">
        <v>693</v>
      </c>
      <c r="E201" t="s">
        <v>666</v>
      </c>
      <c r="F201" t="s">
        <v>433</v>
      </c>
      <c r="G201" t="s">
        <v>434</v>
      </c>
      <c r="H201" t="s">
        <v>435</v>
      </c>
      <c r="I201" t="s">
        <v>436</v>
      </c>
      <c r="J201" t="s">
        <v>216</v>
      </c>
      <c r="K201" t="s">
        <v>281</v>
      </c>
      <c r="L201" t="s">
        <v>281</v>
      </c>
      <c r="M201" t="s">
        <v>212</v>
      </c>
      <c r="N201" t="s">
        <v>213</v>
      </c>
      <c r="O201" t="s">
        <v>28</v>
      </c>
      <c r="P201" t="s">
        <v>28</v>
      </c>
      <c r="Q201" t="s">
        <v>436</v>
      </c>
      <c r="R201" t="s">
        <v>813</v>
      </c>
      <c r="S201" t="s">
        <v>47</v>
      </c>
      <c r="T201" t="s">
        <v>814</v>
      </c>
    </row>
    <row r="202" spans="1:20" x14ac:dyDescent="0.25">
      <c r="A202" t="s">
        <v>815</v>
      </c>
      <c r="B202" t="s">
        <v>23</v>
      </c>
      <c r="C202" t="s">
        <v>38</v>
      </c>
      <c r="D202" t="s">
        <v>693</v>
      </c>
      <c r="E202" t="s">
        <v>348</v>
      </c>
      <c r="F202" t="s">
        <v>327</v>
      </c>
      <c r="G202" t="s">
        <v>114</v>
      </c>
      <c r="H202" t="s">
        <v>328</v>
      </c>
      <c r="I202" t="s">
        <v>115</v>
      </c>
      <c r="J202" t="s">
        <v>230</v>
      </c>
      <c r="K202" t="s">
        <v>231</v>
      </c>
      <c r="L202" t="s">
        <v>231</v>
      </c>
      <c r="M202" t="s">
        <v>212</v>
      </c>
      <c r="N202" t="s">
        <v>213</v>
      </c>
      <c r="O202" t="s">
        <v>28</v>
      </c>
      <c r="P202" t="s">
        <v>28</v>
      </c>
      <c r="Q202" t="s">
        <v>114</v>
      </c>
      <c r="R202" t="s">
        <v>816</v>
      </c>
      <c r="S202" t="s">
        <v>695</v>
      </c>
      <c r="T202" t="s">
        <v>817</v>
      </c>
    </row>
    <row r="203" spans="1:20" x14ac:dyDescent="0.25">
      <c r="A203" t="s">
        <v>818</v>
      </c>
      <c r="B203" t="s">
        <v>23</v>
      </c>
      <c r="C203" t="s">
        <v>24</v>
      </c>
      <c r="D203" t="s">
        <v>693</v>
      </c>
      <c r="E203" t="s">
        <v>426</v>
      </c>
      <c r="F203" t="s">
        <v>427</v>
      </c>
      <c r="G203" t="s">
        <v>428</v>
      </c>
      <c r="H203" t="s">
        <v>429</v>
      </c>
      <c r="I203" t="s">
        <v>430</v>
      </c>
      <c r="J203" t="s">
        <v>222</v>
      </c>
      <c r="K203" t="s">
        <v>237</v>
      </c>
      <c r="L203" t="s">
        <v>237</v>
      </c>
      <c r="M203" t="s">
        <v>212</v>
      </c>
      <c r="N203" t="s">
        <v>213</v>
      </c>
      <c r="O203" t="s">
        <v>28</v>
      </c>
      <c r="P203" t="s">
        <v>28</v>
      </c>
      <c r="Q203" t="s">
        <v>430</v>
      </c>
      <c r="R203" t="s">
        <v>819</v>
      </c>
      <c r="S203" t="s">
        <v>47</v>
      </c>
      <c r="T203" t="s">
        <v>820</v>
      </c>
    </row>
    <row r="204" spans="1:20" x14ac:dyDescent="0.25">
      <c r="A204" t="s">
        <v>818</v>
      </c>
      <c r="B204" t="s">
        <v>23</v>
      </c>
      <c r="C204" t="s">
        <v>24</v>
      </c>
      <c r="D204" t="s">
        <v>693</v>
      </c>
      <c r="E204" t="s">
        <v>426</v>
      </c>
      <c r="F204" t="s">
        <v>427</v>
      </c>
      <c r="G204" t="s">
        <v>428</v>
      </c>
      <c r="H204" t="s">
        <v>429</v>
      </c>
      <c r="I204" t="s">
        <v>430</v>
      </c>
      <c r="J204" t="s">
        <v>403</v>
      </c>
      <c r="K204" t="s">
        <v>254</v>
      </c>
      <c r="L204" t="s">
        <v>254</v>
      </c>
      <c r="M204" t="s">
        <v>212</v>
      </c>
      <c r="N204" t="s">
        <v>213</v>
      </c>
      <c r="O204" t="s">
        <v>28</v>
      </c>
      <c r="P204" t="s">
        <v>28</v>
      </c>
      <c r="Q204" t="s">
        <v>430</v>
      </c>
      <c r="R204" t="s">
        <v>819</v>
      </c>
      <c r="S204" t="s">
        <v>47</v>
      </c>
      <c r="T204" t="s">
        <v>820</v>
      </c>
    </row>
    <row r="205" spans="1:20" x14ac:dyDescent="0.25">
      <c r="A205" t="s">
        <v>821</v>
      </c>
      <c r="B205" t="s">
        <v>23</v>
      </c>
      <c r="C205" t="s">
        <v>24</v>
      </c>
      <c r="D205" t="s">
        <v>693</v>
      </c>
      <c r="E205" t="s">
        <v>822</v>
      </c>
      <c r="F205" t="s">
        <v>823</v>
      </c>
      <c r="G205" t="s">
        <v>824</v>
      </c>
      <c r="H205" t="s">
        <v>825</v>
      </c>
      <c r="I205" t="s">
        <v>826</v>
      </c>
      <c r="J205" t="s">
        <v>230</v>
      </c>
      <c r="K205" t="s">
        <v>231</v>
      </c>
      <c r="L205" t="s">
        <v>231</v>
      </c>
      <c r="M205" t="s">
        <v>212</v>
      </c>
      <c r="N205" t="s">
        <v>213</v>
      </c>
      <c r="O205" t="s">
        <v>28</v>
      </c>
      <c r="P205" t="s">
        <v>28</v>
      </c>
      <c r="Q205" t="s">
        <v>824</v>
      </c>
      <c r="R205" t="s">
        <v>827</v>
      </c>
      <c r="S205" t="s">
        <v>47</v>
      </c>
      <c r="T205" t="s">
        <v>828</v>
      </c>
    </row>
    <row r="206" spans="1:20" x14ac:dyDescent="0.25">
      <c r="A206" t="s">
        <v>829</v>
      </c>
      <c r="B206" t="s">
        <v>23</v>
      </c>
      <c r="C206" t="s">
        <v>24</v>
      </c>
      <c r="D206" t="s">
        <v>693</v>
      </c>
      <c r="E206" t="s">
        <v>830</v>
      </c>
      <c r="F206" t="s">
        <v>831</v>
      </c>
      <c r="G206" t="s">
        <v>832</v>
      </c>
      <c r="H206" t="s">
        <v>833</v>
      </c>
      <c r="I206" t="s">
        <v>834</v>
      </c>
      <c r="J206" t="s">
        <v>271</v>
      </c>
      <c r="K206" t="s">
        <v>237</v>
      </c>
      <c r="L206" t="s">
        <v>237</v>
      </c>
      <c r="M206" t="s">
        <v>212</v>
      </c>
      <c r="N206" t="s">
        <v>213</v>
      </c>
      <c r="O206" t="s">
        <v>28</v>
      </c>
      <c r="P206" t="s">
        <v>28</v>
      </c>
      <c r="Q206" t="s">
        <v>549</v>
      </c>
      <c r="R206" t="s">
        <v>835</v>
      </c>
      <c r="S206" t="s">
        <v>47</v>
      </c>
      <c r="T206" t="s">
        <v>836</v>
      </c>
    </row>
    <row r="207" spans="1:20" x14ac:dyDescent="0.25">
      <c r="A207" t="s">
        <v>829</v>
      </c>
      <c r="B207" t="s">
        <v>23</v>
      </c>
      <c r="C207" t="s">
        <v>24</v>
      </c>
      <c r="D207" t="s">
        <v>693</v>
      </c>
      <c r="E207" t="s">
        <v>830</v>
      </c>
      <c r="F207" t="s">
        <v>831</v>
      </c>
      <c r="G207" t="s">
        <v>832</v>
      </c>
      <c r="H207" t="s">
        <v>833</v>
      </c>
      <c r="I207" t="s">
        <v>834</v>
      </c>
      <c r="J207" t="s">
        <v>222</v>
      </c>
      <c r="K207" t="s">
        <v>237</v>
      </c>
      <c r="L207" t="s">
        <v>237</v>
      </c>
      <c r="M207" t="s">
        <v>212</v>
      </c>
      <c r="N207" t="s">
        <v>213</v>
      </c>
      <c r="O207" t="s">
        <v>28</v>
      </c>
      <c r="P207" t="s">
        <v>28</v>
      </c>
      <c r="Q207" t="s">
        <v>549</v>
      </c>
      <c r="R207" t="s">
        <v>835</v>
      </c>
      <c r="S207" t="s">
        <v>47</v>
      </c>
      <c r="T207" t="s">
        <v>836</v>
      </c>
    </row>
    <row r="208" spans="1:20" x14ac:dyDescent="0.25">
      <c r="A208" t="s">
        <v>829</v>
      </c>
      <c r="B208" t="s">
        <v>23</v>
      </c>
      <c r="C208" t="s">
        <v>24</v>
      </c>
      <c r="D208" t="s">
        <v>693</v>
      </c>
      <c r="E208" t="s">
        <v>830</v>
      </c>
      <c r="F208" t="s">
        <v>831</v>
      </c>
      <c r="G208" t="s">
        <v>832</v>
      </c>
      <c r="H208" t="s">
        <v>833</v>
      </c>
      <c r="I208" t="s">
        <v>834</v>
      </c>
      <c r="J208" t="s">
        <v>216</v>
      </c>
      <c r="K208" t="s">
        <v>281</v>
      </c>
      <c r="L208" t="s">
        <v>225</v>
      </c>
      <c r="M208" t="s">
        <v>212</v>
      </c>
      <c r="N208" t="s">
        <v>213</v>
      </c>
      <c r="O208" t="s">
        <v>28</v>
      </c>
      <c r="P208" t="s">
        <v>28</v>
      </c>
      <c r="Q208" t="s">
        <v>549</v>
      </c>
      <c r="R208" t="s">
        <v>835</v>
      </c>
      <c r="S208" t="s">
        <v>47</v>
      </c>
      <c r="T208" t="s">
        <v>836</v>
      </c>
    </row>
    <row r="209" spans="1:20" x14ac:dyDescent="0.25">
      <c r="A209" t="s">
        <v>829</v>
      </c>
      <c r="B209" t="s">
        <v>23</v>
      </c>
      <c r="C209" t="s">
        <v>24</v>
      </c>
      <c r="D209" t="s">
        <v>693</v>
      </c>
      <c r="E209" t="s">
        <v>830</v>
      </c>
      <c r="F209" t="s">
        <v>831</v>
      </c>
      <c r="G209" t="s">
        <v>832</v>
      </c>
      <c r="H209" t="s">
        <v>833</v>
      </c>
      <c r="I209" t="s">
        <v>834</v>
      </c>
      <c r="J209" t="s">
        <v>230</v>
      </c>
      <c r="K209" t="s">
        <v>240</v>
      </c>
      <c r="L209" t="s">
        <v>240</v>
      </c>
      <c r="M209" t="s">
        <v>212</v>
      </c>
      <c r="N209" t="s">
        <v>213</v>
      </c>
      <c r="O209" t="s">
        <v>28</v>
      </c>
      <c r="P209" t="s">
        <v>28</v>
      </c>
      <c r="Q209" t="s">
        <v>549</v>
      </c>
      <c r="R209" t="s">
        <v>835</v>
      </c>
      <c r="S209" t="s">
        <v>47</v>
      </c>
      <c r="T209" t="s">
        <v>836</v>
      </c>
    </row>
    <row r="210" spans="1:20" x14ac:dyDescent="0.25">
      <c r="A210" t="s">
        <v>837</v>
      </c>
      <c r="B210" t="s">
        <v>23</v>
      </c>
      <c r="C210" t="s">
        <v>37</v>
      </c>
      <c r="D210" t="s">
        <v>693</v>
      </c>
      <c r="E210" t="s">
        <v>838</v>
      </c>
      <c r="F210" t="s">
        <v>404</v>
      </c>
      <c r="G210" t="s">
        <v>405</v>
      </c>
      <c r="H210" t="s">
        <v>263</v>
      </c>
      <c r="I210" t="s">
        <v>95</v>
      </c>
      <c r="J210" t="s">
        <v>222</v>
      </c>
      <c r="K210" t="s">
        <v>237</v>
      </c>
      <c r="L210" t="s">
        <v>237</v>
      </c>
      <c r="M210" t="s">
        <v>212</v>
      </c>
      <c r="N210" t="s">
        <v>213</v>
      </c>
      <c r="O210" t="s">
        <v>43</v>
      </c>
      <c r="P210" t="s">
        <v>28</v>
      </c>
      <c r="Q210" t="s">
        <v>405</v>
      </c>
      <c r="R210" t="s">
        <v>839</v>
      </c>
      <c r="S210" t="s">
        <v>47</v>
      </c>
      <c r="T210" t="s">
        <v>840</v>
      </c>
    </row>
    <row r="211" spans="1:20" x14ac:dyDescent="0.25">
      <c r="A211" t="s">
        <v>841</v>
      </c>
      <c r="B211" t="s">
        <v>23</v>
      </c>
      <c r="C211" t="s">
        <v>24</v>
      </c>
      <c r="D211" t="s">
        <v>693</v>
      </c>
      <c r="E211" t="s">
        <v>842</v>
      </c>
      <c r="F211" t="s">
        <v>843</v>
      </c>
      <c r="G211" t="s">
        <v>844</v>
      </c>
      <c r="H211" t="s">
        <v>845</v>
      </c>
      <c r="I211" t="s">
        <v>846</v>
      </c>
      <c r="J211" t="s">
        <v>230</v>
      </c>
      <c r="K211" t="s">
        <v>221</v>
      </c>
      <c r="L211" t="s">
        <v>221</v>
      </c>
      <c r="M211" t="s">
        <v>212</v>
      </c>
      <c r="N211" t="s">
        <v>213</v>
      </c>
      <c r="O211" t="s">
        <v>28</v>
      </c>
      <c r="P211" t="s">
        <v>28</v>
      </c>
      <c r="Q211" t="s">
        <v>846</v>
      </c>
      <c r="R211" t="s">
        <v>847</v>
      </c>
      <c r="S211" t="s">
        <v>47</v>
      </c>
      <c r="T211" t="s">
        <v>848</v>
      </c>
    </row>
    <row r="212" spans="1:20" x14ac:dyDescent="0.25">
      <c r="A212" t="s">
        <v>841</v>
      </c>
      <c r="B212" t="s">
        <v>23</v>
      </c>
      <c r="C212" t="s">
        <v>24</v>
      </c>
      <c r="D212" t="s">
        <v>693</v>
      </c>
      <c r="E212" t="s">
        <v>842</v>
      </c>
      <c r="F212" t="s">
        <v>843</v>
      </c>
      <c r="G212" t="s">
        <v>844</v>
      </c>
      <c r="H212" t="s">
        <v>845</v>
      </c>
      <c r="I212" t="s">
        <v>846</v>
      </c>
      <c r="J212" t="s">
        <v>224</v>
      </c>
      <c r="K212" t="s">
        <v>223</v>
      </c>
      <c r="L212" t="s">
        <v>223</v>
      </c>
      <c r="M212" t="s">
        <v>212</v>
      </c>
      <c r="N212" t="s">
        <v>213</v>
      </c>
      <c r="O212" t="s">
        <v>28</v>
      </c>
      <c r="P212" t="s">
        <v>28</v>
      </c>
      <c r="Q212" t="s">
        <v>846</v>
      </c>
      <c r="R212" t="s">
        <v>847</v>
      </c>
      <c r="S212" t="s">
        <v>47</v>
      </c>
      <c r="T212" t="s">
        <v>848</v>
      </c>
    </row>
    <row r="213" spans="1:20" x14ac:dyDescent="0.25">
      <c r="A213" t="s">
        <v>849</v>
      </c>
      <c r="B213" t="s">
        <v>23</v>
      </c>
      <c r="C213" t="s">
        <v>24</v>
      </c>
      <c r="D213" t="s">
        <v>693</v>
      </c>
      <c r="E213" t="s">
        <v>850</v>
      </c>
      <c r="F213" t="s">
        <v>851</v>
      </c>
      <c r="G213" t="s">
        <v>852</v>
      </c>
      <c r="H213" t="s">
        <v>853</v>
      </c>
      <c r="I213" t="s">
        <v>854</v>
      </c>
      <c r="J213" t="s">
        <v>258</v>
      </c>
      <c r="K213" t="s">
        <v>256</v>
      </c>
      <c r="L213" t="s">
        <v>256</v>
      </c>
      <c r="M213" t="s">
        <v>212</v>
      </c>
      <c r="N213" t="s">
        <v>213</v>
      </c>
      <c r="O213" t="s">
        <v>28</v>
      </c>
      <c r="P213" t="s">
        <v>28</v>
      </c>
      <c r="Q213" t="s">
        <v>131</v>
      </c>
      <c r="R213" t="s">
        <v>855</v>
      </c>
      <c r="S213" t="s">
        <v>33</v>
      </c>
      <c r="T213" t="s">
        <v>856</v>
      </c>
    </row>
    <row r="214" spans="1:20" x14ac:dyDescent="0.25">
      <c r="A214" t="s">
        <v>849</v>
      </c>
      <c r="B214" t="s">
        <v>23</v>
      </c>
      <c r="C214" t="s">
        <v>24</v>
      </c>
      <c r="D214" t="s">
        <v>693</v>
      </c>
      <c r="E214" t="s">
        <v>850</v>
      </c>
      <c r="F214" t="s">
        <v>851</v>
      </c>
      <c r="G214" t="s">
        <v>852</v>
      </c>
      <c r="H214" t="s">
        <v>853</v>
      </c>
      <c r="I214" t="s">
        <v>854</v>
      </c>
      <c r="J214" t="s">
        <v>286</v>
      </c>
      <c r="K214" t="s">
        <v>255</v>
      </c>
      <c r="L214" t="s">
        <v>255</v>
      </c>
      <c r="M214" t="s">
        <v>212</v>
      </c>
      <c r="N214" t="s">
        <v>213</v>
      </c>
      <c r="O214" t="s">
        <v>28</v>
      </c>
      <c r="P214" t="s">
        <v>28</v>
      </c>
      <c r="Q214" t="s">
        <v>131</v>
      </c>
      <c r="R214" t="s">
        <v>855</v>
      </c>
      <c r="S214" t="s">
        <v>33</v>
      </c>
      <c r="T214" t="s">
        <v>856</v>
      </c>
    </row>
    <row r="215" spans="1:20" x14ac:dyDescent="0.25">
      <c r="A215" t="s">
        <v>857</v>
      </c>
      <c r="B215" t="s">
        <v>23</v>
      </c>
      <c r="C215" t="s">
        <v>24</v>
      </c>
      <c r="D215" t="s">
        <v>693</v>
      </c>
      <c r="E215" t="s">
        <v>398</v>
      </c>
      <c r="F215" t="s">
        <v>399</v>
      </c>
      <c r="G215" t="s">
        <v>400</v>
      </c>
      <c r="H215" t="s">
        <v>401</v>
      </c>
      <c r="I215" t="s">
        <v>402</v>
      </c>
      <c r="J215" t="s">
        <v>230</v>
      </c>
      <c r="K215" t="s">
        <v>221</v>
      </c>
      <c r="L215" t="s">
        <v>221</v>
      </c>
      <c r="M215" t="s">
        <v>212</v>
      </c>
      <c r="N215" t="s">
        <v>213</v>
      </c>
      <c r="O215" t="s">
        <v>28</v>
      </c>
      <c r="P215" t="s">
        <v>28</v>
      </c>
      <c r="Q215" t="s">
        <v>402</v>
      </c>
      <c r="R215" t="s">
        <v>858</v>
      </c>
      <c r="S215" t="s">
        <v>47</v>
      </c>
      <c r="T215" t="s">
        <v>859</v>
      </c>
    </row>
    <row r="216" spans="1:20" x14ac:dyDescent="0.25">
      <c r="A216" t="s">
        <v>857</v>
      </c>
      <c r="B216" t="s">
        <v>23</v>
      </c>
      <c r="C216" t="s">
        <v>24</v>
      </c>
      <c r="D216" t="s">
        <v>693</v>
      </c>
      <c r="E216" t="s">
        <v>398</v>
      </c>
      <c r="F216" t="s">
        <v>399</v>
      </c>
      <c r="G216" t="s">
        <v>400</v>
      </c>
      <c r="H216" t="s">
        <v>401</v>
      </c>
      <c r="I216" t="s">
        <v>402</v>
      </c>
      <c r="J216" t="s">
        <v>216</v>
      </c>
      <c r="K216" t="s">
        <v>225</v>
      </c>
      <c r="L216" t="s">
        <v>225</v>
      </c>
      <c r="M216" t="s">
        <v>212</v>
      </c>
      <c r="N216" t="s">
        <v>213</v>
      </c>
      <c r="O216" t="s">
        <v>28</v>
      </c>
      <c r="P216" t="s">
        <v>28</v>
      </c>
      <c r="Q216" t="s">
        <v>402</v>
      </c>
      <c r="R216" t="s">
        <v>858</v>
      </c>
      <c r="S216" t="s">
        <v>47</v>
      </c>
      <c r="T216" t="s">
        <v>859</v>
      </c>
    </row>
    <row r="217" spans="1:20" x14ac:dyDescent="0.25">
      <c r="A217" t="s">
        <v>857</v>
      </c>
      <c r="B217" t="s">
        <v>23</v>
      </c>
      <c r="C217" t="s">
        <v>24</v>
      </c>
      <c r="D217" t="s">
        <v>693</v>
      </c>
      <c r="E217" t="s">
        <v>398</v>
      </c>
      <c r="F217" t="s">
        <v>399</v>
      </c>
      <c r="G217" t="s">
        <v>400</v>
      </c>
      <c r="H217" t="s">
        <v>401</v>
      </c>
      <c r="I217" t="s">
        <v>402</v>
      </c>
      <c r="J217" t="s">
        <v>403</v>
      </c>
      <c r="K217" t="s">
        <v>860</v>
      </c>
      <c r="L217" t="s">
        <v>860</v>
      </c>
      <c r="M217" t="s">
        <v>212</v>
      </c>
      <c r="N217" t="s">
        <v>213</v>
      </c>
      <c r="O217" t="s">
        <v>28</v>
      </c>
      <c r="P217" t="s">
        <v>28</v>
      </c>
      <c r="Q217" t="s">
        <v>402</v>
      </c>
      <c r="R217" t="s">
        <v>858</v>
      </c>
      <c r="S217" t="s">
        <v>47</v>
      </c>
      <c r="T217" t="s">
        <v>859</v>
      </c>
    </row>
    <row r="218" spans="1:20" x14ac:dyDescent="0.25">
      <c r="A218" t="s">
        <v>857</v>
      </c>
      <c r="B218" t="s">
        <v>23</v>
      </c>
      <c r="C218" t="s">
        <v>24</v>
      </c>
      <c r="D218" t="s">
        <v>693</v>
      </c>
      <c r="E218" t="s">
        <v>398</v>
      </c>
      <c r="F218" t="s">
        <v>399</v>
      </c>
      <c r="G218" t="s">
        <v>400</v>
      </c>
      <c r="H218" t="s">
        <v>401</v>
      </c>
      <c r="I218" t="s">
        <v>402</v>
      </c>
      <c r="J218" t="s">
        <v>431</v>
      </c>
      <c r="K218" t="s">
        <v>447</v>
      </c>
      <c r="L218" t="s">
        <v>447</v>
      </c>
      <c r="M218" t="s">
        <v>212</v>
      </c>
      <c r="N218" t="s">
        <v>213</v>
      </c>
      <c r="O218" t="s">
        <v>28</v>
      </c>
      <c r="P218" t="s">
        <v>28</v>
      </c>
      <c r="Q218" t="s">
        <v>402</v>
      </c>
      <c r="R218" t="s">
        <v>858</v>
      </c>
      <c r="S218" t="s">
        <v>47</v>
      </c>
      <c r="T218" t="s">
        <v>859</v>
      </c>
    </row>
    <row r="219" spans="1:20" x14ac:dyDescent="0.25">
      <c r="A219" t="s">
        <v>861</v>
      </c>
      <c r="B219" t="s">
        <v>23</v>
      </c>
      <c r="C219" t="s">
        <v>24</v>
      </c>
      <c r="D219" t="s">
        <v>693</v>
      </c>
      <c r="E219" t="s">
        <v>862</v>
      </c>
      <c r="F219" t="s">
        <v>863</v>
      </c>
      <c r="G219" t="s">
        <v>864</v>
      </c>
      <c r="H219" t="s">
        <v>865</v>
      </c>
      <c r="I219" t="s">
        <v>866</v>
      </c>
      <c r="J219" t="s">
        <v>230</v>
      </c>
      <c r="K219" t="s">
        <v>221</v>
      </c>
      <c r="L219" t="s">
        <v>221</v>
      </c>
      <c r="M219" t="s">
        <v>212</v>
      </c>
      <c r="N219" t="s">
        <v>213</v>
      </c>
      <c r="O219" t="s">
        <v>28</v>
      </c>
      <c r="P219" t="s">
        <v>28</v>
      </c>
      <c r="Q219" t="s">
        <v>507</v>
      </c>
      <c r="R219" t="s">
        <v>867</v>
      </c>
      <c r="S219" t="s">
        <v>47</v>
      </c>
      <c r="T219" t="s">
        <v>868</v>
      </c>
    </row>
    <row r="220" spans="1:20" x14ac:dyDescent="0.25">
      <c r="A220" t="s">
        <v>869</v>
      </c>
      <c r="B220" t="s">
        <v>23</v>
      </c>
      <c r="C220" t="s">
        <v>24</v>
      </c>
      <c r="D220" t="s">
        <v>693</v>
      </c>
      <c r="E220" t="s">
        <v>870</v>
      </c>
      <c r="F220" t="s">
        <v>871</v>
      </c>
      <c r="G220" t="s">
        <v>872</v>
      </c>
      <c r="H220" t="s">
        <v>873</v>
      </c>
      <c r="I220" t="s">
        <v>874</v>
      </c>
      <c r="J220" t="s">
        <v>230</v>
      </c>
      <c r="K220" t="s">
        <v>221</v>
      </c>
      <c r="L220" t="s">
        <v>221</v>
      </c>
      <c r="M220" t="s">
        <v>212</v>
      </c>
      <c r="N220" t="s">
        <v>213</v>
      </c>
      <c r="O220" t="s">
        <v>28</v>
      </c>
      <c r="P220" t="s">
        <v>28</v>
      </c>
      <c r="Q220" t="s">
        <v>872</v>
      </c>
      <c r="R220" t="s">
        <v>875</v>
      </c>
      <c r="S220" t="s">
        <v>47</v>
      </c>
      <c r="T220" t="s">
        <v>876</v>
      </c>
    </row>
    <row r="221" spans="1:20" x14ac:dyDescent="0.25">
      <c r="A221" t="s">
        <v>869</v>
      </c>
      <c r="B221" t="s">
        <v>23</v>
      </c>
      <c r="C221" t="s">
        <v>24</v>
      </c>
      <c r="D221" t="s">
        <v>693</v>
      </c>
      <c r="E221" t="s">
        <v>870</v>
      </c>
      <c r="F221" t="s">
        <v>871</v>
      </c>
      <c r="G221" t="s">
        <v>872</v>
      </c>
      <c r="H221" t="s">
        <v>873</v>
      </c>
      <c r="I221" t="s">
        <v>874</v>
      </c>
      <c r="J221" t="s">
        <v>257</v>
      </c>
      <c r="K221" t="s">
        <v>240</v>
      </c>
      <c r="L221" t="s">
        <v>240</v>
      </c>
      <c r="M221" t="s">
        <v>212</v>
      </c>
      <c r="N221" t="s">
        <v>213</v>
      </c>
      <c r="O221" t="s">
        <v>28</v>
      </c>
      <c r="P221" t="s">
        <v>28</v>
      </c>
      <c r="Q221" t="s">
        <v>872</v>
      </c>
      <c r="R221" t="s">
        <v>875</v>
      </c>
      <c r="S221" t="s">
        <v>47</v>
      </c>
      <c r="T221" t="s">
        <v>876</v>
      </c>
    </row>
    <row r="222" spans="1:20" x14ac:dyDescent="0.25">
      <c r="A222" t="s">
        <v>877</v>
      </c>
      <c r="B222" t="s">
        <v>23</v>
      </c>
      <c r="C222" t="s">
        <v>24</v>
      </c>
      <c r="D222" t="s">
        <v>693</v>
      </c>
      <c r="E222" t="s">
        <v>407</v>
      </c>
      <c r="F222" t="s">
        <v>331</v>
      </c>
      <c r="G222" t="s">
        <v>146</v>
      </c>
      <c r="H222" t="s">
        <v>332</v>
      </c>
      <c r="I222" t="s">
        <v>147</v>
      </c>
      <c r="J222" t="s">
        <v>222</v>
      </c>
      <c r="K222" t="s">
        <v>223</v>
      </c>
      <c r="L222" t="s">
        <v>237</v>
      </c>
      <c r="M222" t="s">
        <v>212</v>
      </c>
      <c r="N222" t="s">
        <v>213</v>
      </c>
      <c r="O222" t="s">
        <v>28</v>
      </c>
      <c r="P222" t="s">
        <v>28</v>
      </c>
      <c r="Q222" t="s">
        <v>146</v>
      </c>
      <c r="R222" t="s">
        <v>878</v>
      </c>
      <c r="S222" t="s">
        <v>33</v>
      </c>
      <c r="T222" t="s">
        <v>879</v>
      </c>
    </row>
    <row r="223" spans="1:20" x14ac:dyDescent="0.25">
      <c r="A223" t="s">
        <v>877</v>
      </c>
      <c r="B223" t="s">
        <v>23</v>
      </c>
      <c r="C223" t="s">
        <v>24</v>
      </c>
      <c r="D223" t="s">
        <v>693</v>
      </c>
      <c r="E223" t="s">
        <v>407</v>
      </c>
      <c r="F223" t="s">
        <v>331</v>
      </c>
      <c r="G223" t="s">
        <v>146</v>
      </c>
      <c r="H223" t="s">
        <v>332</v>
      </c>
      <c r="I223" t="s">
        <v>147</v>
      </c>
      <c r="J223" t="s">
        <v>253</v>
      </c>
      <c r="K223" t="s">
        <v>221</v>
      </c>
      <c r="L223" t="s">
        <v>221</v>
      </c>
      <c r="M223" t="s">
        <v>212</v>
      </c>
      <c r="N223" t="s">
        <v>213</v>
      </c>
      <c r="O223" t="s">
        <v>28</v>
      </c>
      <c r="P223" t="s">
        <v>28</v>
      </c>
      <c r="Q223" t="s">
        <v>146</v>
      </c>
      <c r="R223" t="s">
        <v>878</v>
      </c>
      <c r="S223" t="s">
        <v>33</v>
      </c>
      <c r="T223" t="s">
        <v>879</v>
      </c>
    </row>
    <row r="224" spans="1:20" x14ac:dyDescent="0.25">
      <c r="A224" t="s">
        <v>880</v>
      </c>
      <c r="B224" t="s">
        <v>23</v>
      </c>
      <c r="C224" t="s">
        <v>24</v>
      </c>
      <c r="D224" t="s">
        <v>881</v>
      </c>
      <c r="E224" t="s">
        <v>882</v>
      </c>
      <c r="F224" t="s">
        <v>269</v>
      </c>
      <c r="G224" t="s">
        <v>124</v>
      </c>
      <c r="H224" t="s">
        <v>270</v>
      </c>
      <c r="I224" t="s">
        <v>125</v>
      </c>
      <c r="J224" t="s">
        <v>210</v>
      </c>
      <c r="K224" t="s">
        <v>236</v>
      </c>
      <c r="L224" t="s">
        <v>236</v>
      </c>
      <c r="M224" t="s">
        <v>212</v>
      </c>
      <c r="N224" t="s">
        <v>213</v>
      </c>
      <c r="O224" t="s">
        <v>28</v>
      </c>
      <c r="P224" t="s">
        <v>28</v>
      </c>
      <c r="Q224" t="s">
        <v>125</v>
      </c>
      <c r="R224" t="s">
        <v>883</v>
      </c>
      <c r="S224" t="s">
        <v>47</v>
      </c>
      <c r="T224" t="s">
        <v>884</v>
      </c>
    </row>
    <row r="225" spans="1:20" x14ac:dyDescent="0.25">
      <c r="A225" t="s">
        <v>885</v>
      </c>
      <c r="B225" t="s">
        <v>23</v>
      </c>
      <c r="C225" t="s">
        <v>24</v>
      </c>
      <c r="D225" t="s">
        <v>881</v>
      </c>
      <c r="E225" t="s">
        <v>579</v>
      </c>
      <c r="F225" t="s">
        <v>580</v>
      </c>
      <c r="G225" t="s">
        <v>581</v>
      </c>
      <c r="H225" t="s">
        <v>582</v>
      </c>
      <c r="I225" t="s">
        <v>583</v>
      </c>
      <c r="J225" t="s">
        <v>210</v>
      </c>
      <c r="K225" t="s">
        <v>236</v>
      </c>
      <c r="L225" t="s">
        <v>236</v>
      </c>
      <c r="M225" t="s">
        <v>212</v>
      </c>
      <c r="N225" t="s">
        <v>213</v>
      </c>
      <c r="O225" t="s">
        <v>28</v>
      </c>
      <c r="P225" t="s">
        <v>28</v>
      </c>
      <c r="Q225" t="s">
        <v>583</v>
      </c>
      <c r="R225" t="s">
        <v>886</v>
      </c>
      <c r="S225" t="s">
        <v>47</v>
      </c>
      <c r="T225" t="s">
        <v>887</v>
      </c>
    </row>
    <row r="226" spans="1:20" x14ac:dyDescent="0.25">
      <c r="A226" t="s">
        <v>885</v>
      </c>
      <c r="B226" t="s">
        <v>23</v>
      </c>
      <c r="C226" t="s">
        <v>24</v>
      </c>
      <c r="D226" t="s">
        <v>881</v>
      </c>
      <c r="E226" t="s">
        <v>579</v>
      </c>
      <c r="F226" t="s">
        <v>580</v>
      </c>
      <c r="G226" t="s">
        <v>581</v>
      </c>
      <c r="H226" t="s">
        <v>582</v>
      </c>
      <c r="I226" t="s">
        <v>583</v>
      </c>
      <c r="J226" t="s">
        <v>229</v>
      </c>
      <c r="K226" t="s">
        <v>225</v>
      </c>
      <c r="L226" t="s">
        <v>225</v>
      </c>
      <c r="M226" t="s">
        <v>212</v>
      </c>
      <c r="N226" t="s">
        <v>213</v>
      </c>
      <c r="O226" t="s">
        <v>28</v>
      </c>
      <c r="P226" t="s">
        <v>28</v>
      </c>
      <c r="Q226" t="s">
        <v>583</v>
      </c>
      <c r="R226" t="s">
        <v>886</v>
      </c>
      <c r="S226" t="s">
        <v>47</v>
      </c>
      <c r="T226" t="s">
        <v>887</v>
      </c>
    </row>
    <row r="227" spans="1:20" x14ac:dyDescent="0.25">
      <c r="A227" t="s">
        <v>888</v>
      </c>
      <c r="B227" t="s">
        <v>23</v>
      </c>
      <c r="C227" t="s">
        <v>24</v>
      </c>
      <c r="D227" t="s">
        <v>881</v>
      </c>
      <c r="E227" t="s">
        <v>889</v>
      </c>
      <c r="F227" t="s">
        <v>580</v>
      </c>
      <c r="G227" t="s">
        <v>581</v>
      </c>
      <c r="H227" t="s">
        <v>582</v>
      </c>
      <c r="I227" t="s">
        <v>583</v>
      </c>
      <c r="J227" t="s">
        <v>229</v>
      </c>
      <c r="K227" t="s">
        <v>225</v>
      </c>
      <c r="L227" t="s">
        <v>225</v>
      </c>
      <c r="M227" t="s">
        <v>212</v>
      </c>
      <c r="N227" t="s">
        <v>213</v>
      </c>
      <c r="O227" t="s">
        <v>43</v>
      </c>
      <c r="P227" t="s">
        <v>28</v>
      </c>
      <c r="Q227" t="s">
        <v>583</v>
      </c>
      <c r="R227" t="s">
        <v>890</v>
      </c>
      <c r="S227" t="s">
        <v>47</v>
      </c>
      <c r="T227" t="s">
        <v>891</v>
      </c>
    </row>
    <row r="228" spans="1:20" x14ac:dyDescent="0.25">
      <c r="A228" t="s">
        <v>888</v>
      </c>
      <c r="B228" t="s">
        <v>23</v>
      </c>
      <c r="C228" t="s">
        <v>24</v>
      </c>
      <c r="D228" t="s">
        <v>881</v>
      </c>
      <c r="E228" t="s">
        <v>889</v>
      </c>
      <c r="F228" t="s">
        <v>580</v>
      </c>
      <c r="G228" t="s">
        <v>581</v>
      </c>
      <c r="H228" t="s">
        <v>582</v>
      </c>
      <c r="I228" t="s">
        <v>583</v>
      </c>
      <c r="J228" t="s">
        <v>210</v>
      </c>
      <c r="K228" t="s">
        <v>236</v>
      </c>
      <c r="L228" t="s">
        <v>236</v>
      </c>
      <c r="M228" t="s">
        <v>212</v>
      </c>
      <c r="N228" t="s">
        <v>213</v>
      </c>
      <c r="O228" t="s">
        <v>43</v>
      </c>
      <c r="P228" t="s">
        <v>28</v>
      </c>
      <c r="Q228" t="s">
        <v>583</v>
      </c>
      <c r="R228" t="s">
        <v>890</v>
      </c>
      <c r="S228" t="s">
        <v>47</v>
      </c>
      <c r="T228" t="s">
        <v>891</v>
      </c>
    </row>
    <row r="229" spans="1:20" x14ac:dyDescent="0.25">
      <c r="A229" t="s">
        <v>892</v>
      </c>
      <c r="B229" t="s">
        <v>23</v>
      </c>
      <c r="C229" t="s">
        <v>37</v>
      </c>
      <c r="D229" t="s">
        <v>881</v>
      </c>
      <c r="E229" t="s">
        <v>515</v>
      </c>
      <c r="F229" t="s">
        <v>349</v>
      </c>
      <c r="G229" t="s">
        <v>70</v>
      </c>
      <c r="H229" t="s">
        <v>350</v>
      </c>
      <c r="I229" t="s">
        <v>71</v>
      </c>
      <c r="J229" t="s">
        <v>262</v>
      </c>
      <c r="K229" t="s">
        <v>217</v>
      </c>
      <c r="L229" t="s">
        <v>217</v>
      </c>
      <c r="M229" t="s">
        <v>212</v>
      </c>
      <c r="N229" t="s">
        <v>213</v>
      </c>
      <c r="O229" t="s">
        <v>28</v>
      </c>
      <c r="P229" t="s">
        <v>28</v>
      </c>
      <c r="Q229" t="s">
        <v>70</v>
      </c>
      <c r="R229" t="s">
        <v>893</v>
      </c>
      <c r="S229" t="s">
        <v>47</v>
      </c>
      <c r="T229" t="s">
        <v>894</v>
      </c>
    </row>
    <row r="230" spans="1:20" x14ac:dyDescent="0.25">
      <c r="A230" t="s">
        <v>892</v>
      </c>
      <c r="B230" t="s">
        <v>23</v>
      </c>
      <c r="C230" t="s">
        <v>37</v>
      </c>
      <c r="D230" t="s">
        <v>881</v>
      </c>
      <c r="E230" t="s">
        <v>515</v>
      </c>
      <c r="F230" t="s">
        <v>349</v>
      </c>
      <c r="G230" t="s">
        <v>70</v>
      </c>
      <c r="H230" t="s">
        <v>350</v>
      </c>
      <c r="I230" t="s">
        <v>71</v>
      </c>
      <c r="J230" t="s">
        <v>229</v>
      </c>
      <c r="K230" t="s">
        <v>217</v>
      </c>
      <c r="L230" t="s">
        <v>217</v>
      </c>
      <c r="M230" t="s">
        <v>212</v>
      </c>
      <c r="N230" t="s">
        <v>213</v>
      </c>
      <c r="O230" t="s">
        <v>28</v>
      </c>
      <c r="P230" t="s">
        <v>28</v>
      </c>
      <c r="Q230" t="s">
        <v>70</v>
      </c>
      <c r="R230" t="s">
        <v>893</v>
      </c>
      <c r="S230" t="s">
        <v>47</v>
      </c>
      <c r="T230" t="s">
        <v>894</v>
      </c>
    </row>
    <row r="231" spans="1:20" x14ac:dyDescent="0.25">
      <c r="A231" t="s">
        <v>895</v>
      </c>
      <c r="B231" t="s">
        <v>23</v>
      </c>
      <c r="C231" t="s">
        <v>24</v>
      </c>
      <c r="D231" t="s">
        <v>881</v>
      </c>
      <c r="E231" t="s">
        <v>406</v>
      </c>
      <c r="F231" t="s">
        <v>282</v>
      </c>
      <c r="G231" t="s">
        <v>129</v>
      </c>
      <c r="H231" t="s">
        <v>283</v>
      </c>
      <c r="I231" t="s">
        <v>130</v>
      </c>
      <c r="J231" t="s">
        <v>222</v>
      </c>
      <c r="K231" t="s">
        <v>237</v>
      </c>
      <c r="L231" t="s">
        <v>237</v>
      </c>
      <c r="M231" t="s">
        <v>212</v>
      </c>
      <c r="N231" t="s">
        <v>213</v>
      </c>
      <c r="O231" t="s">
        <v>28</v>
      </c>
      <c r="P231" t="s">
        <v>28</v>
      </c>
      <c r="Q231" t="s">
        <v>129</v>
      </c>
      <c r="R231" t="s">
        <v>896</v>
      </c>
      <c r="S231" t="s">
        <v>33</v>
      </c>
      <c r="T231" t="s">
        <v>897</v>
      </c>
    </row>
    <row r="232" spans="1:20" x14ac:dyDescent="0.25">
      <c r="A232" t="s">
        <v>895</v>
      </c>
      <c r="B232" t="s">
        <v>23</v>
      </c>
      <c r="C232" t="s">
        <v>24</v>
      </c>
      <c r="D232" t="s">
        <v>881</v>
      </c>
      <c r="E232" t="s">
        <v>406</v>
      </c>
      <c r="F232" t="s">
        <v>282</v>
      </c>
      <c r="G232" t="s">
        <v>129</v>
      </c>
      <c r="H232" t="s">
        <v>283</v>
      </c>
      <c r="I232" t="s">
        <v>130</v>
      </c>
      <c r="J232" t="s">
        <v>216</v>
      </c>
      <c r="K232" t="s">
        <v>217</v>
      </c>
      <c r="L232" t="s">
        <v>217</v>
      </c>
      <c r="M232" t="s">
        <v>212</v>
      </c>
      <c r="N232" t="s">
        <v>213</v>
      </c>
      <c r="O232" t="s">
        <v>28</v>
      </c>
      <c r="P232" t="s">
        <v>28</v>
      </c>
      <c r="Q232" t="s">
        <v>129</v>
      </c>
      <c r="R232" t="s">
        <v>896</v>
      </c>
      <c r="S232" t="s">
        <v>33</v>
      </c>
      <c r="T232" t="s">
        <v>897</v>
      </c>
    </row>
    <row r="233" spans="1:20" x14ac:dyDescent="0.25">
      <c r="A233" t="s">
        <v>895</v>
      </c>
      <c r="B233" t="s">
        <v>23</v>
      </c>
      <c r="C233" t="s">
        <v>24</v>
      </c>
      <c r="D233" t="s">
        <v>881</v>
      </c>
      <c r="E233" t="s">
        <v>406</v>
      </c>
      <c r="F233" t="s">
        <v>282</v>
      </c>
      <c r="G233" t="s">
        <v>129</v>
      </c>
      <c r="H233" t="s">
        <v>283</v>
      </c>
      <c r="I233" t="s">
        <v>130</v>
      </c>
      <c r="J233" t="s">
        <v>224</v>
      </c>
      <c r="K233" t="s">
        <v>237</v>
      </c>
      <c r="L233" t="s">
        <v>223</v>
      </c>
      <c r="M233" t="s">
        <v>212</v>
      </c>
      <c r="N233" t="s">
        <v>213</v>
      </c>
      <c r="O233" t="s">
        <v>28</v>
      </c>
      <c r="P233" t="s">
        <v>28</v>
      </c>
      <c r="Q233" t="s">
        <v>129</v>
      </c>
      <c r="R233" t="s">
        <v>896</v>
      </c>
      <c r="S233" t="s">
        <v>33</v>
      </c>
      <c r="T233" t="s">
        <v>897</v>
      </c>
    </row>
    <row r="234" spans="1:20" x14ac:dyDescent="0.25">
      <c r="A234" t="s">
        <v>898</v>
      </c>
      <c r="B234" t="s">
        <v>23</v>
      </c>
      <c r="C234" t="s">
        <v>24</v>
      </c>
      <c r="D234" t="s">
        <v>881</v>
      </c>
      <c r="E234" t="s">
        <v>354</v>
      </c>
      <c r="F234" t="s">
        <v>355</v>
      </c>
      <c r="G234" t="s">
        <v>108</v>
      </c>
      <c r="H234" t="s">
        <v>356</v>
      </c>
      <c r="I234" t="s">
        <v>109</v>
      </c>
      <c r="J234" t="s">
        <v>222</v>
      </c>
      <c r="K234" t="s">
        <v>237</v>
      </c>
      <c r="L234" t="s">
        <v>237</v>
      </c>
      <c r="M234" t="s">
        <v>212</v>
      </c>
      <c r="N234" t="s">
        <v>899</v>
      </c>
      <c r="O234" t="s">
        <v>43</v>
      </c>
      <c r="P234" t="s">
        <v>28</v>
      </c>
      <c r="Q234" t="s">
        <v>109</v>
      </c>
      <c r="R234" t="s">
        <v>900</v>
      </c>
      <c r="S234" t="s">
        <v>47</v>
      </c>
      <c r="T234" t="s">
        <v>901</v>
      </c>
    </row>
    <row r="235" spans="1:20" x14ac:dyDescent="0.25">
      <c r="A235" t="s">
        <v>898</v>
      </c>
      <c r="B235" t="s">
        <v>23</v>
      </c>
      <c r="C235" t="s">
        <v>24</v>
      </c>
      <c r="D235" t="s">
        <v>881</v>
      </c>
      <c r="E235" t="s">
        <v>354</v>
      </c>
      <c r="F235" t="s">
        <v>355</v>
      </c>
      <c r="G235" t="s">
        <v>108</v>
      </c>
      <c r="H235" t="s">
        <v>356</v>
      </c>
      <c r="I235" t="s">
        <v>109</v>
      </c>
      <c r="J235" t="s">
        <v>216</v>
      </c>
      <c r="K235" t="s">
        <v>225</v>
      </c>
      <c r="L235" t="s">
        <v>225</v>
      </c>
      <c r="M235" t="s">
        <v>212</v>
      </c>
      <c r="N235" t="s">
        <v>357</v>
      </c>
      <c r="O235" t="s">
        <v>43</v>
      </c>
      <c r="P235" t="s">
        <v>28</v>
      </c>
      <c r="Q235" t="s">
        <v>109</v>
      </c>
      <c r="R235" t="s">
        <v>900</v>
      </c>
      <c r="S235" t="s">
        <v>47</v>
      </c>
      <c r="T235" t="s">
        <v>901</v>
      </c>
    </row>
    <row r="236" spans="1:20" x14ac:dyDescent="0.25">
      <c r="A236" t="s">
        <v>902</v>
      </c>
      <c r="B236" t="s">
        <v>23</v>
      </c>
      <c r="C236" t="s">
        <v>38</v>
      </c>
      <c r="D236" t="s">
        <v>881</v>
      </c>
      <c r="E236" t="s">
        <v>62</v>
      </c>
      <c r="F236" t="s">
        <v>367</v>
      </c>
      <c r="G236" t="s">
        <v>63</v>
      </c>
      <c r="H236" t="s">
        <v>368</v>
      </c>
      <c r="I236" t="s">
        <v>64</v>
      </c>
      <c r="J236" t="s">
        <v>222</v>
      </c>
      <c r="K236" t="s">
        <v>237</v>
      </c>
      <c r="L236" t="s">
        <v>237</v>
      </c>
      <c r="M236" t="s">
        <v>212</v>
      </c>
      <c r="N236" t="s">
        <v>213</v>
      </c>
      <c r="O236" t="s">
        <v>28</v>
      </c>
      <c r="P236" t="s">
        <v>28</v>
      </c>
      <c r="Q236" t="s">
        <v>64</v>
      </c>
      <c r="R236" t="s">
        <v>903</v>
      </c>
      <c r="S236" t="s">
        <v>47</v>
      </c>
      <c r="T236" t="s">
        <v>904</v>
      </c>
    </row>
    <row r="237" spans="1:20" x14ac:dyDescent="0.25">
      <c r="A237" t="s">
        <v>902</v>
      </c>
      <c r="B237" t="s">
        <v>23</v>
      </c>
      <c r="C237" t="s">
        <v>38</v>
      </c>
      <c r="D237" t="s">
        <v>881</v>
      </c>
      <c r="E237" t="s">
        <v>62</v>
      </c>
      <c r="F237" t="s">
        <v>367</v>
      </c>
      <c r="G237" t="s">
        <v>63</v>
      </c>
      <c r="H237" t="s">
        <v>368</v>
      </c>
      <c r="I237" t="s">
        <v>64</v>
      </c>
      <c r="J237" t="s">
        <v>216</v>
      </c>
      <c r="K237" t="s">
        <v>236</v>
      </c>
      <c r="L237" t="s">
        <v>225</v>
      </c>
      <c r="M237" t="s">
        <v>212</v>
      </c>
      <c r="N237" t="s">
        <v>213</v>
      </c>
      <c r="O237" t="s">
        <v>28</v>
      </c>
      <c r="P237" t="s">
        <v>28</v>
      </c>
      <c r="Q237" t="s">
        <v>64</v>
      </c>
      <c r="R237" t="s">
        <v>903</v>
      </c>
      <c r="S237" t="s">
        <v>47</v>
      </c>
      <c r="T237" t="s">
        <v>904</v>
      </c>
    </row>
    <row r="238" spans="1:20" x14ac:dyDescent="0.25">
      <c r="A238" t="s">
        <v>902</v>
      </c>
      <c r="B238" t="s">
        <v>23</v>
      </c>
      <c r="C238" t="s">
        <v>38</v>
      </c>
      <c r="D238" t="s">
        <v>881</v>
      </c>
      <c r="E238" t="s">
        <v>62</v>
      </c>
      <c r="F238" t="s">
        <v>367</v>
      </c>
      <c r="G238" t="s">
        <v>63</v>
      </c>
      <c r="H238" t="s">
        <v>368</v>
      </c>
      <c r="I238" t="s">
        <v>64</v>
      </c>
      <c r="J238" t="s">
        <v>253</v>
      </c>
      <c r="K238" t="s">
        <v>221</v>
      </c>
      <c r="L238" t="s">
        <v>221</v>
      </c>
      <c r="M238" t="s">
        <v>212</v>
      </c>
      <c r="N238" t="s">
        <v>213</v>
      </c>
      <c r="O238" t="s">
        <v>28</v>
      </c>
      <c r="P238" t="s">
        <v>28</v>
      </c>
      <c r="Q238" t="s">
        <v>64</v>
      </c>
      <c r="R238" t="s">
        <v>903</v>
      </c>
      <c r="S238" t="s">
        <v>47</v>
      </c>
      <c r="T238" t="s">
        <v>904</v>
      </c>
    </row>
    <row r="239" spans="1:20" x14ac:dyDescent="0.25">
      <c r="A239" t="s">
        <v>902</v>
      </c>
      <c r="B239" t="s">
        <v>23</v>
      </c>
      <c r="C239" t="s">
        <v>38</v>
      </c>
      <c r="D239" t="s">
        <v>881</v>
      </c>
      <c r="E239" t="s">
        <v>62</v>
      </c>
      <c r="F239" t="s">
        <v>367</v>
      </c>
      <c r="G239" t="s">
        <v>63</v>
      </c>
      <c r="H239" t="s">
        <v>368</v>
      </c>
      <c r="I239" t="s">
        <v>64</v>
      </c>
      <c r="J239" t="s">
        <v>290</v>
      </c>
      <c r="K239" t="s">
        <v>239</v>
      </c>
      <c r="L239" t="s">
        <v>239</v>
      </c>
      <c r="M239" t="s">
        <v>212</v>
      </c>
      <c r="N239" t="s">
        <v>213</v>
      </c>
      <c r="O239" t="s">
        <v>28</v>
      </c>
      <c r="P239" t="s">
        <v>28</v>
      </c>
      <c r="Q239" t="s">
        <v>64</v>
      </c>
      <c r="R239" t="s">
        <v>903</v>
      </c>
      <c r="S239" t="s">
        <v>47</v>
      </c>
      <c r="T239" t="s">
        <v>904</v>
      </c>
    </row>
    <row r="240" spans="1:20" x14ac:dyDescent="0.25">
      <c r="A240" t="s">
        <v>905</v>
      </c>
      <c r="B240" t="s">
        <v>23</v>
      </c>
      <c r="C240" t="s">
        <v>24</v>
      </c>
      <c r="D240" t="s">
        <v>881</v>
      </c>
      <c r="E240" t="s">
        <v>266</v>
      </c>
      <c r="F240" t="s">
        <v>267</v>
      </c>
      <c r="G240" t="s">
        <v>85</v>
      </c>
      <c r="H240" t="s">
        <v>268</v>
      </c>
      <c r="I240" t="s">
        <v>86</v>
      </c>
      <c r="J240" t="s">
        <v>257</v>
      </c>
      <c r="K240" t="s">
        <v>254</v>
      </c>
      <c r="L240" t="s">
        <v>221</v>
      </c>
      <c r="M240" t="s">
        <v>212</v>
      </c>
      <c r="N240" t="s">
        <v>213</v>
      </c>
      <c r="O240" t="s">
        <v>28</v>
      </c>
      <c r="P240" t="s">
        <v>28</v>
      </c>
      <c r="Q240" t="s">
        <v>85</v>
      </c>
      <c r="R240" t="s">
        <v>906</v>
      </c>
      <c r="S240" t="s">
        <v>47</v>
      </c>
      <c r="T240" t="s">
        <v>907</v>
      </c>
    </row>
    <row r="241" spans="1:20" x14ac:dyDescent="0.25">
      <c r="A241" t="s">
        <v>905</v>
      </c>
      <c r="B241" t="s">
        <v>23</v>
      </c>
      <c r="C241" t="s">
        <v>24</v>
      </c>
      <c r="D241" t="s">
        <v>881</v>
      </c>
      <c r="E241" t="s">
        <v>266</v>
      </c>
      <c r="F241" t="s">
        <v>267</v>
      </c>
      <c r="G241" t="s">
        <v>85</v>
      </c>
      <c r="H241" t="s">
        <v>268</v>
      </c>
      <c r="I241" t="s">
        <v>86</v>
      </c>
      <c r="J241" t="s">
        <v>224</v>
      </c>
      <c r="K241" t="s">
        <v>223</v>
      </c>
      <c r="L241" t="s">
        <v>223</v>
      </c>
      <c r="M241" t="s">
        <v>212</v>
      </c>
      <c r="N241" t="s">
        <v>213</v>
      </c>
      <c r="O241" t="s">
        <v>28</v>
      </c>
      <c r="P241" t="s">
        <v>28</v>
      </c>
      <c r="Q241" t="s">
        <v>85</v>
      </c>
      <c r="R241" t="s">
        <v>906</v>
      </c>
      <c r="S241" t="s">
        <v>47</v>
      </c>
      <c r="T241" t="s">
        <v>907</v>
      </c>
    </row>
    <row r="242" spans="1:20" x14ac:dyDescent="0.25">
      <c r="A242" t="s">
        <v>905</v>
      </c>
      <c r="B242" t="s">
        <v>23</v>
      </c>
      <c r="C242" t="s">
        <v>24</v>
      </c>
      <c r="D242" t="s">
        <v>881</v>
      </c>
      <c r="E242" t="s">
        <v>266</v>
      </c>
      <c r="F242" t="s">
        <v>267</v>
      </c>
      <c r="G242" t="s">
        <v>85</v>
      </c>
      <c r="H242" t="s">
        <v>268</v>
      </c>
      <c r="I242" t="s">
        <v>86</v>
      </c>
      <c r="J242" t="s">
        <v>222</v>
      </c>
      <c r="K242" t="s">
        <v>237</v>
      </c>
      <c r="L242" t="s">
        <v>237</v>
      </c>
      <c r="M242" t="s">
        <v>212</v>
      </c>
      <c r="N242" t="s">
        <v>213</v>
      </c>
      <c r="O242" t="s">
        <v>28</v>
      </c>
      <c r="P242" t="s">
        <v>28</v>
      </c>
      <c r="Q242" t="s">
        <v>85</v>
      </c>
      <c r="R242" t="s">
        <v>906</v>
      </c>
      <c r="S242" t="s">
        <v>47</v>
      </c>
      <c r="T242" t="s">
        <v>907</v>
      </c>
    </row>
    <row r="243" spans="1:20" x14ac:dyDescent="0.25">
      <c r="A243" t="s">
        <v>908</v>
      </c>
      <c r="B243" t="s">
        <v>23</v>
      </c>
      <c r="C243" t="s">
        <v>37</v>
      </c>
      <c r="D243" t="s">
        <v>881</v>
      </c>
      <c r="E243" t="s">
        <v>909</v>
      </c>
      <c r="F243" t="s">
        <v>910</v>
      </c>
      <c r="G243" t="s">
        <v>911</v>
      </c>
      <c r="H243" t="s">
        <v>912</v>
      </c>
      <c r="I243" t="s">
        <v>913</v>
      </c>
      <c r="J243" t="s">
        <v>230</v>
      </c>
      <c r="K243" t="s">
        <v>221</v>
      </c>
      <c r="L243" t="s">
        <v>221</v>
      </c>
      <c r="M243" t="s">
        <v>212</v>
      </c>
      <c r="N243" t="s">
        <v>213</v>
      </c>
      <c r="O243" t="s">
        <v>28</v>
      </c>
      <c r="P243" t="s">
        <v>28</v>
      </c>
      <c r="Q243" t="s">
        <v>911</v>
      </c>
      <c r="R243" t="s">
        <v>914</v>
      </c>
      <c r="S243" t="s">
        <v>47</v>
      </c>
      <c r="T243" t="s">
        <v>915</v>
      </c>
    </row>
    <row r="244" spans="1:20" x14ac:dyDescent="0.25">
      <c r="A244" t="s">
        <v>908</v>
      </c>
      <c r="B244" t="s">
        <v>23</v>
      </c>
      <c r="C244" t="s">
        <v>37</v>
      </c>
      <c r="D244" t="s">
        <v>881</v>
      </c>
      <c r="E244" t="s">
        <v>909</v>
      </c>
      <c r="F244" t="s">
        <v>910</v>
      </c>
      <c r="G244" t="s">
        <v>911</v>
      </c>
      <c r="H244" t="s">
        <v>912</v>
      </c>
      <c r="I244" t="s">
        <v>913</v>
      </c>
      <c r="J244" t="s">
        <v>216</v>
      </c>
      <c r="K244" t="s">
        <v>217</v>
      </c>
      <c r="L244" t="s">
        <v>225</v>
      </c>
      <c r="M244" t="s">
        <v>212</v>
      </c>
      <c r="N244" t="s">
        <v>213</v>
      </c>
      <c r="O244" t="s">
        <v>28</v>
      </c>
      <c r="P244" t="s">
        <v>28</v>
      </c>
      <c r="Q244" t="s">
        <v>911</v>
      </c>
      <c r="R244" t="s">
        <v>914</v>
      </c>
      <c r="S244" t="s">
        <v>47</v>
      </c>
      <c r="T244" t="s">
        <v>915</v>
      </c>
    </row>
    <row r="245" spans="1:20" x14ac:dyDescent="0.25">
      <c r="A245" t="s">
        <v>908</v>
      </c>
      <c r="B245" t="s">
        <v>23</v>
      </c>
      <c r="C245" t="s">
        <v>37</v>
      </c>
      <c r="D245" t="s">
        <v>881</v>
      </c>
      <c r="E245" t="s">
        <v>909</v>
      </c>
      <c r="F245" t="s">
        <v>910</v>
      </c>
      <c r="G245" t="s">
        <v>911</v>
      </c>
      <c r="H245" t="s">
        <v>912</v>
      </c>
      <c r="I245" t="s">
        <v>913</v>
      </c>
      <c r="J245" t="s">
        <v>224</v>
      </c>
      <c r="K245" t="s">
        <v>223</v>
      </c>
      <c r="L245" t="s">
        <v>223</v>
      </c>
      <c r="M245" t="s">
        <v>212</v>
      </c>
      <c r="N245" t="s">
        <v>213</v>
      </c>
      <c r="O245" t="s">
        <v>28</v>
      </c>
      <c r="P245" t="s">
        <v>28</v>
      </c>
      <c r="Q245" t="s">
        <v>911</v>
      </c>
      <c r="R245" t="s">
        <v>914</v>
      </c>
      <c r="S245" t="s">
        <v>47</v>
      </c>
      <c r="T245" t="s">
        <v>915</v>
      </c>
    </row>
    <row r="246" spans="1:20" x14ac:dyDescent="0.25">
      <c r="A246" t="s">
        <v>908</v>
      </c>
      <c r="B246" t="s">
        <v>23</v>
      </c>
      <c r="C246" t="s">
        <v>37</v>
      </c>
      <c r="D246" t="s">
        <v>881</v>
      </c>
      <c r="E246" t="s">
        <v>909</v>
      </c>
      <c r="F246" t="s">
        <v>910</v>
      </c>
      <c r="G246" t="s">
        <v>911</v>
      </c>
      <c r="H246" t="s">
        <v>912</v>
      </c>
      <c r="I246" t="s">
        <v>913</v>
      </c>
      <c r="J246" t="s">
        <v>257</v>
      </c>
      <c r="K246" t="s">
        <v>256</v>
      </c>
      <c r="L246" t="s">
        <v>256</v>
      </c>
      <c r="M246" t="s">
        <v>212</v>
      </c>
      <c r="N246" t="s">
        <v>213</v>
      </c>
      <c r="O246" t="s">
        <v>28</v>
      </c>
      <c r="P246" t="s">
        <v>28</v>
      </c>
      <c r="Q246" t="s">
        <v>911</v>
      </c>
      <c r="R246" t="s">
        <v>914</v>
      </c>
      <c r="S246" t="s">
        <v>47</v>
      </c>
      <c r="T246" t="s">
        <v>915</v>
      </c>
    </row>
    <row r="247" spans="1:20" x14ac:dyDescent="0.25">
      <c r="A247" t="s">
        <v>908</v>
      </c>
      <c r="B247" t="s">
        <v>23</v>
      </c>
      <c r="C247" t="s">
        <v>37</v>
      </c>
      <c r="D247" t="s">
        <v>881</v>
      </c>
      <c r="E247" t="s">
        <v>909</v>
      </c>
      <c r="F247" t="s">
        <v>910</v>
      </c>
      <c r="G247" t="s">
        <v>911</v>
      </c>
      <c r="H247" t="s">
        <v>912</v>
      </c>
      <c r="I247" t="s">
        <v>913</v>
      </c>
      <c r="J247" t="s">
        <v>275</v>
      </c>
      <c r="K247" t="s">
        <v>254</v>
      </c>
      <c r="L247" t="s">
        <v>254</v>
      </c>
      <c r="M247" t="s">
        <v>212</v>
      </c>
      <c r="N247" t="s">
        <v>213</v>
      </c>
      <c r="O247" t="s">
        <v>28</v>
      </c>
      <c r="P247" t="s">
        <v>28</v>
      </c>
      <c r="Q247" t="s">
        <v>911</v>
      </c>
      <c r="R247" t="s">
        <v>914</v>
      </c>
      <c r="S247" t="s">
        <v>47</v>
      </c>
      <c r="T247" t="s">
        <v>915</v>
      </c>
    </row>
    <row r="248" spans="1:20" x14ac:dyDescent="0.25">
      <c r="A248" t="s">
        <v>916</v>
      </c>
      <c r="B248" t="s">
        <v>23</v>
      </c>
      <c r="C248" t="s">
        <v>24</v>
      </c>
      <c r="D248" t="s">
        <v>881</v>
      </c>
      <c r="E248" t="s">
        <v>541</v>
      </c>
      <c r="F248" t="s">
        <v>307</v>
      </c>
      <c r="G248" t="s">
        <v>56</v>
      </c>
      <c r="H248" t="s">
        <v>308</v>
      </c>
      <c r="I248" t="s">
        <v>57</v>
      </c>
      <c r="J248" t="s">
        <v>417</v>
      </c>
      <c r="K248" t="s">
        <v>240</v>
      </c>
      <c r="L248" t="s">
        <v>240</v>
      </c>
      <c r="M248" t="s">
        <v>212</v>
      </c>
      <c r="N248" t="s">
        <v>213</v>
      </c>
      <c r="O248" t="s">
        <v>28</v>
      </c>
      <c r="P248" t="s">
        <v>28</v>
      </c>
      <c r="Q248" t="s">
        <v>57</v>
      </c>
      <c r="R248" t="s">
        <v>917</v>
      </c>
      <c r="S248" t="s">
        <v>47</v>
      </c>
      <c r="T248" t="s">
        <v>918</v>
      </c>
    </row>
    <row r="249" spans="1:20" x14ac:dyDescent="0.25">
      <c r="A249" t="s">
        <v>916</v>
      </c>
      <c r="B249" t="s">
        <v>23</v>
      </c>
      <c r="C249" t="s">
        <v>24</v>
      </c>
      <c r="D249" t="s">
        <v>881</v>
      </c>
      <c r="E249" t="s">
        <v>541</v>
      </c>
      <c r="F249" t="s">
        <v>307</v>
      </c>
      <c r="G249" t="s">
        <v>56</v>
      </c>
      <c r="H249" t="s">
        <v>308</v>
      </c>
      <c r="I249" t="s">
        <v>57</v>
      </c>
      <c r="J249" t="s">
        <v>224</v>
      </c>
      <c r="K249" t="s">
        <v>237</v>
      </c>
      <c r="L249" t="s">
        <v>223</v>
      </c>
      <c r="M249" t="s">
        <v>212</v>
      </c>
      <c r="N249" t="s">
        <v>213</v>
      </c>
      <c r="O249" t="s">
        <v>28</v>
      </c>
      <c r="P249" t="s">
        <v>28</v>
      </c>
      <c r="Q249" t="s">
        <v>57</v>
      </c>
      <c r="R249" t="s">
        <v>917</v>
      </c>
      <c r="S249" t="s">
        <v>47</v>
      </c>
      <c r="T249" t="s">
        <v>918</v>
      </c>
    </row>
    <row r="250" spans="1:20" x14ac:dyDescent="0.25">
      <c r="A250" t="s">
        <v>919</v>
      </c>
      <c r="B250" t="s">
        <v>23</v>
      </c>
      <c r="C250" t="s">
        <v>24</v>
      </c>
      <c r="D250" t="s">
        <v>881</v>
      </c>
      <c r="E250" t="s">
        <v>882</v>
      </c>
      <c r="F250" t="s">
        <v>269</v>
      </c>
      <c r="G250" t="s">
        <v>124</v>
      </c>
      <c r="H250" t="s">
        <v>270</v>
      </c>
      <c r="I250" t="s">
        <v>125</v>
      </c>
      <c r="J250" t="s">
        <v>417</v>
      </c>
      <c r="K250" t="s">
        <v>231</v>
      </c>
      <c r="L250" t="s">
        <v>231</v>
      </c>
      <c r="M250" t="s">
        <v>212</v>
      </c>
      <c r="N250" t="s">
        <v>213</v>
      </c>
      <c r="O250" t="s">
        <v>28</v>
      </c>
      <c r="P250" t="s">
        <v>28</v>
      </c>
      <c r="Q250" t="s">
        <v>125</v>
      </c>
      <c r="R250" t="s">
        <v>920</v>
      </c>
      <c r="S250" t="s">
        <v>47</v>
      </c>
      <c r="T250" t="s">
        <v>921</v>
      </c>
    </row>
    <row r="251" spans="1:20" x14ac:dyDescent="0.25">
      <c r="A251" t="s">
        <v>919</v>
      </c>
      <c r="B251" t="s">
        <v>23</v>
      </c>
      <c r="C251" t="s">
        <v>24</v>
      </c>
      <c r="D251" t="s">
        <v>881</v>
      </c>
      <c r="E251" t="s">
        <v>882</v>
      </c>
      <c r="F251" t="s">
        <v>269</v>
      </c>
      <c r="G251" t="s">
        <v>124</v>
      </c>
      <c r="H251" t="s">
        <v>270</v>
      </c>
      <c r="I251" t="s">
        <v>125</v>
      </c>
      <c r="J251" t="s">
        <v>257</v>
      </c>
      <c r="K251" t="s">
        <v>231</v>
      </c>
      <c r="L251" t="s">
        <v>231</v>
      </c>
      <c r="M251" t="s">
        <v>212</v>
      </c>
      <c r="N251" t="s">
        <v>213</v>
      </c>
      <c r="O251" t="s">
        <v>28</v>
      </c>
      <c r="P251" t="s">
        <v>28</v>
      </c>
      <c r="Q251" t="s">
        <v>125</v>
      </c>
      <c r="R251" t="s">
        <v>920</v>
      </c>
      <c r="S251" t="s">
        <v>47</v>
      </c>
      <c r="T251" t="s">
        <v>921</v>
      </c>
    </row>
    <row r="252" spans="1:20" x14ac:dyDescent="0.25">
      <c r="A252" t="s">
        <v>922</v>
      </c>
      <c r="B252" t="s">
        <v>23</v>
      </c>
      <c r="C252" t="s">
        <v>38</v>
      </c>
      <c r="D252" t="s">
        <v>881</v>
      </c>
      <c r="E252" t="s">
        <v>805</v>
      </c>
      <c r="F252" t="s">
        <v>260</v>
      </c>
      <c r="G252" t="s">
        <v>117</v>
      </c>
      <c r="H252" t="s">
        <v>261</v>
      </c>
      <c r="I252" t="s">
        <v>164</v>
      </c>
      <c r="J252" t="s">
        <v>224</v>
      </c>
      <c r="K252" t="s">
        <v>223</v>
      </c>
      <c r="L252" t="s">
        <v>223</v>
      </c>
      <c r="M252" t="s">
        <v>212</v>
      </c>
      <c r="N252" t="s">
        <v>213</v>
      </c>
      <c r="O252" t="s">
        <v>28</v>
      </c>
      <c r="P252" t="s">
        <v>28</v>
      </c>
      <c r="Q252" t="s">
        <v>117</v>
      </c>
      <c r="R252" t="s">
        <v>923</v>
      </c>
      <c r="S252" t="s">
        <v>47</v>
      </c>
      <c r="T252" t="s">
        <v>924</v>
      </c>
    </row>
    <row r="253" spans="1:20" x14ac:dyDescent="0.25">
      <c r="A253" t="s">
        <v>922</v>
      </c>
      <c r="B253" t="s">
        <v>23</v>
      </c>
      <c r="C253" t="s">
        <v>38</v>
      </c>
      <c r="D253" t="s">
        <v>881</v>
      </c>
      <c r="E253" t="s">
        <v>805</v>
      </c>
      <c r="F253" t="s">
        <v>260</v>
      </c>
      <c r="G253" t="s">
        <v>117</v>
      </c>
      <c r="H253" t="s">
        <v>261</v>
      </c>
      <c r="I253" t="s">
        <v>164</v>
      </c>
      <c r="J253" t="s">
        <v>216</v>
      </c>
      <c r="K253" t="s">
        <v>236</v>
      </c>
      <c r="L253" t="s">
        <v>225</v>
      </c>
      <c r="M253" t="s">
        <v>212</v>
      </c>
      <c r="N253" t="s">
        <v>213</v>
      </c>
      <c r="O253" t="s">
        <v>28</v>
      </c>
      <c r="P253" t="s">
        <v>28</v>
      </c>
      <c r="Q253" t="s">
        <v>117</v>
      </c>
      <c r="R253" t="s">
        <v>923</v>
      </c>
      <c r="S253" t="s">
        <v>47</v>
      </c>
      <c r="T253" t="s">
        <v>924</v>
      </c>
    </row>
    <row r="254" spans="1:20" x14ac:dyDescent="0.25">
      <c r="A254" t="s">
        <v>922</v>
      </c>
      <c r="B254" t="s">
        <v>23</v>
      </c>
      <c r="C254" t="s">
        <v>38</v>
      </c>
      <c r="D254" t="s">
        <v>881</v>
      </c>
      <c r="E254" t="s">
        <v>805</v>
      </c>
      <c r="F254" t="s">
        <v>260</v>
      </c>
      <c r="G254" t="s">
        <v>117</v>
      </c>
      <c r="H254" t="s">
        <v>261</v>
      </c>
      <c r="I254" t="s">
        <v>164</v>
      </c>
      <c r="J254" t="s">
        <v>230</v>
      </c>
      <c r="K254" t="s">
        <v>240</v>
      </c>
      <c r="L254" t="s">
        <v>240</v>
      </c>
      <c r="M254" t="s">
        <v>212</v>
      </c>
      <c r="N254" t="s">
        <v>213</v>
      </c>
      <c r="O254" t="s">
        <v>28</v>
      </c>
      <c r="P254" t="s">
        <v>28</v>
      </c>
      <c r="Q254" t="s">
        <v>117</v>
      </c>
      <c r="R254" t="s">
        <v>923</v>
      </c>
      <c r="S254" t="s">
        <v>47</v>
      </c>
      <c r="T254" t="s">
        <v>924</v>
      </c>
    </row>
    <row r="255" spans="1:20" x14ac:dyDescent="0.25">
      <c r="A255" t="s">
        <v>922</v>
      </c>
      <c r="B255" t="s">
        <v>23</v>
      </c>
      <c r="C255" t="s">
        <v>38</v>
      </c>
      <c r="D255" t="s">
        <v>881</v>
      </c>
      <c r="E255" t="s">
        <v>805</v>
      </c>
      <c r="F255" t="s">
        <v>260</v>
      </c>
      <c r="G255" t="s">
        <v>117</v>
      </c>
      <c r="H255" t="s">
        <v>261</v>
      </c>
      <c r="I255" t="s">
        <v>164</v>
      </c>
      <c r="J255" t="s">
        <v>222</v>
      </c>
      <c r="K255" t="s">
        <v>219</v>
      </c>
      <c r="L255" t="s">
        <v>237</v>
      </c>
      <c r="M255" t="s">
        <v>212</v>
      </c>
      <c r="N255" t="s">
        <v>213</v>
      </c>
      <c r="O255" t="s">
        <v>28</v>
      </c>
      <c r="P255" t="s">
        <v>28</v>
      </c>
      <c r="Q255" t="s">
        <v>117</v>
      </c>
      <c r="R255" t="s">
        <v>923</v>
      </c>
      <c r="S255" t="s">
        <v>47</v>
      </c>
      <c r="T255" t="s">
        <v>924</v>
      </c>
    </row>
    <row r="256" spans="1:20" x14ac:dyDescent="0.25">
      <c r="A256" t="s">
        <v>925</v>
      </c>
      <c r="B256" t="s">
        <v>23</v>
      </c>
      <c r="C256" t="s">
        <v>38</v>
      </c>
      <c r="D256" t="s">
        <v>881</v>
      </c>
      <c r="E256" t="s">
        <v>926</v>
      </c>
      <c r="F256" t="s">
        <v>335</v>
      </c>
      <c r="G256" t="s">
        <v>139</v>
      </c>
      <c r="H256" t="s">
        <v>424</v>
      </c>
      <c r="I256" t="s">
        <v>425</v>
      </c>
      <c r="J256" t="s">
        <v>697</v>
      </c>
      <c r="K256" t="s">
        <v>225</v>
      </c>
      <c r="L256" t="s">
        <v>225</v>
      </c>
      <c r="M256" t="s">
        <v>212</v>
      </c>
      <c r="N256" t="s">
        <v>213</v>
      </c>
      <c r="O256" t="s">
        <v>28</v>
      </c>
      <c r="P256" t="s">
        <v>28</v>
      </c>
      <c r="Q256" t="s">
        <v>139</v>
      </c>
      <c r="R256" t="s">
        <v>927</v>
      </c>
      <c r="S256" t="s">
        <v>33</v>
      </c>
      <c r="T256" t="s">
        <v>928</v>
      </c>
    </row>
    <row r="257" spans="1:20" x14ac:dyDescent="0.25">
      <c r="A257" t="s">
        <v>925</v>
      </c>
      <c r="B257" t="s">
        <v>23</v>
      </c>
      <c r="C257" t="s">
        <v>38</v>
      </c>
      <c r="D257" t="s">
        <v>881</v>
      </c>
      <c r="E257" t="s">
        <v>926</v>
      </c>
      <c r="F257" t="s">
        <v>335</v>
      </c>
      <c r="G257" t="s">
        <v>139</v>
      </c>
      <c r="H257" t="s">
        <v>424</v>
      </c>
      <c r="I257" t="s">
        <v>425</v>
      </c>
      <c r="J257" t="s">
        <v>216</v>
      </c>
      <c r="K257" t="s">
        <v>256</v>
      </c>
      <c r="L257" t="s">
        <v>225</v>
      </c>
      <c r="M257" t="s">
        <v>212</v>
      </c>
      <c r="N257" t="s">
        <v>213</v>
      </c>
      <c r="O257" t="s">
        <v>28</v>
      </c>
      <c r="P257" t="s">
        <v>28</v>
      </c>
      <c r="Q257" t="s">
        <v>139</v>
      </c>
      <c r="R257" t="s">
        <v>927</v>
      </c>
      <c r="S257" t="s">
        <v>33</v>
      </c>
      <c r="T257" t="s">
        <v>928</v>
      </c>
    </row>
    <row r="258" spans="1:20" x14ac:dyDescent="0.25">
      <c r="A258" t="s">
        <v>925</v>
      </c>
      <c r="B258" t="s">
        <v>23</v>
      </c>
      <c r="C258" t="s">
        <v>38</v>
      </c>
      <c r="D258" t="s">
        <v>881</v>
      </c>
      <c r="E258" t="s">
        <v>926</v>
      </c>
      <c r="F258" t="s">
        <v>335</v>
      </c>
      <c r="G258" t="s">
        <v>139</v>
      </c>
      <c r="H258" t="s">
        <v>424</v>
      </c>
      <c r="I258" t="s">
        <v>425</v>
      </c>
      <c r="J258" t="s">
        <v>253</v>
      </c>
      <c r="K258" t="s">
        <v>239</v>
      </c>
      <c r="L258" t="s">
        <v>239</v>
      </c>
      <c r="M258" t="s">
        <v>212</v>
      </c>
      <c r="N258" t="s">
        <v>213</v>
      </c>
      <c r="O258" t="s">
        <v>28</v>
      </c>
      <c r="P258" t="s">
        <v>28</v>
      </c>
      <c r="Q258" t="s">
        <v>139</v>
      </c>
      <c r="R258" t="s">
        <v>927</v>
      </c>
      <c r="S258" t="s">
        <v>33</v>
      </c>
      <c r="T258" t="s">
        <v>928</v>
      </c>
    </row>
    <row r="259" spans="1:20" x14ac:dyDescent="0.25">
      <c r="A259" t="s">
        <v>929</v>
      </c>
      <c r="B259" t="s">
        <v>23</v>
      </c>
      <c r="C259" t="s">
        <v>38</v>
      </c>
      <c r="D259" t="s">
        <v>881</v>
      </c>
      <c r="E259" t="s">
        <v>930</v>
      </c>
      <c r="F259" t="s">
        <v>343</v>
      </c>
      <c r="G259" t="s">
        <v>45</v>
      </c>
      <c r="H259" t="s">
        <v>342</v>
      </c>
      <c r="I259" t="s">
        <v>46</v>
      </c>
      <c r="J259" t="s">
        <v>224</v>
      </c>
      <c r="K259" t="s">
        <v>223</v>
      </c>
      <c r="L259" t="s">
        <v>223</v>
      </c>
      <c r="M259" t="s">
        <v>212</v>
      </c>
      <c r="N259" t="s">
        <v>213</v>
      </c>
      <c r="O259" t="s">
        <v>28</v>
      </c>
      <c r="P259" t="s">
        <v>28</v>
      </c>
      <c r="Q259" t="s">
        <v>45</v>
      </c>
      <c r="R259" t="s">
        <v>931</v>
      </c>
      <c r="S259" t="s">
        <v>47</v>
      </c>
      <c r="T259" t="s">
        <v>932</v>
      </c>
    </row>
    <row r="260" spans="1:20" x14ac:dyDescent="0.25">
      <c r="A260" t="s">
        <v>929</v>
      </c>
      <c r="B260" t="s">
        <v>23</v>
      </c>
      <c r="C260" t="s">
        <v>38</v>
      </c>
      <c r="D260" t="s">
        <v>881</v>
      </c>
      <c r="E260" t="s">
        <v>930</v>
      </c>
      <c r="F260" t="s">
        <v>343</v>
      </c>
      <c r="G260" t="s">
        <v>45</v>
      </c>
      <c r="H260" t="s">
        <v>342</v>
      </c>
      <c r="I260" t="s">
        <v>46</v>
      </c>
      <c r="J260" t="s">
        <v>222</v>
      </c>
      <c r="K260" t="s">
        <v>237</v>
      </c>
      <c r="L260" t="s">
        <v>237</v>
      </c>
      <c r="M260" t="s">
        <v>212</v>
      </c>
      <c r="N260" t="s">
        <v>213</v>
      </c>
      <c r="O260" t="s">
        <v>28</v>
      </c>
      <c r="P260" t="s">
        <v>28</v>
      </c>
      <c r="Q260" t="s">
        <v>45</v>
      </c>
      <c r="R260" t="s">
        <v>931</v>
      </c>
      <c r="S260" t="s">
        <v>47</v>
      </c>
      <c r="T260" t="s">
        <v>932</v>
      </c>
    </row>
    <row r="261" spans="1:20" x14ac:dyDescent="0.25">
      <c r="A261" t="s">
        <v>929</v>
      </c>
      <c r="B261" t="s">
        <v>23</v>
      </c>
      <c r="C261" t="s">
        <v>38</v>
      </c>
      <c r="D261" t="s">
        <v>881</v>
      </c>
      <c r="E261" t="s">
        <v>930</v>
      </c>
      <c r="F261" t="s">
        <v>343</v>
      </c>
      <c r="G261" t="s">
        <v>45</v>
      </c>
      <c r="H261" t="s">
        <v>342</v>
      </c>
      <c r="I261" t="s">
        <v>46</v>
      </c>
      <c r="J261" t="s">
        <v>230</v>
      </c>
      <c r="K261" t="s">
        <v>223</v>
      </c>
      <c r="L261" t="s">
        <v>933</v>
      </c>
      <c r="M261" t="s">
        <v>212</v>
      </c>
      <c r="N261" t="s">
        <v>213</v>
      </c>
      <c r="O261" t="s">
        <v>28</v>
      </c>
      <c r="P261" t="s">
        <v>28</v>
      </c>
      <c r="Q261" t="s">
        <v>45</v>
      </c>
      <c r="R261" t="s">
        <v>931</v>
      </c>
      <c r="S261" t="s">
        <v>47</v>
      </c>
      <c r="T261" t="s">
        <v>932</v>
      </c>
    </row>
    <row r="262" spans="1:20" x14ac:dyDescent="0.25">
      <c r="A262" t="s">
        <v>929</v>
      </c>
      <c r="B262" t="s">
        <v>23</v>
      </c>
      <c r="C262" t="s">
        <v>38</v>
      </c>
      <c r="D262" t="s">
        <v>881</v>
      </c>
      <c r="E262" t="s">
        <v>930</v>
      </c>
      <c r="F262" t="s">
        <v>343</v>
      </c>
      <c r="G262" t="s">
        <v>45</v>
      </c>
      <c r="H262" t="s">
        <v>342</v>
      </c>
      <c r="I262" t="s">
        <v>46</v>
      </c>
      <c r="J262" t="s">
        <v>216</v>
      </c>
      <c r="K262" t="s">
        <v>217</v>
      </c>
      <c r="L262" t="s">
        <v>225</v>
      </c>
      <c r="M262" t="s">
        <v>212</v>
      </c>
      <c r="N262" t="s">
        <v>213</v>
      </c>
      <c r="O262" t="s">
        <v>28</v>
      </c>
      <c r="P262" t="s">
        <v>28</v>
      </c>
      <c r="Q262" t="s">
        <v>45</v>
      </c>
      <c r="R262" t="s">
        <v>931</v>
      </c>
      <c r="S262" t="s">
        <v>47</v>
      </c>
      <c r="T262" t="s">
        <v>932</v>
      </c>
    </row>
    <row r="263" spans="1:20" x14ac:dyDescent="0.25">
      <c r="A263" t="s">
        <v>934</v>
      </c>
      <c r="B263" t="s">
        <v>23</v>
      </c>
      <c r="C263" t="s">
        <v>38</v>
      </c>
      <c r="D263" t="s">
        <v>881</v>
      </c>
      <c r="E263" t="s">
        <v>935</v>
      </c>
      <c r="F263" t="s">
        <v>936</v>
      </c>
      <c r="G263" t="s">
        <v>937</v>
      </c>
      <c r="H263" t="s">
        <v>341</v>
      </c>
      <c r="I263" t="s">
        <v>49</v>
      </c>
      <c r="J263" t="s">
        <v>230</v>
      </c>
      <c r="K263" t="s">
        <v>231</v>
      </c>
      <c r="L263" t="s">
        <v>231</v>
      </c>
      <c r="M263" t="s">
        <v>212</v>
      </c>
      <c r="N263" t="s">
        <v>938</v>
      </c>
      <c r="O263" t="s">
        <v>28</v>
      </c>
      <c r="P263" t="s">
        <v>28</v>
      </c>
      <c r="Q263" t="s">
        <v>48</v>
      </c>
      <c r="R263" t="s">
        <v>939</v>
      </c>
      <c r="S263" t="s">
        <v>47</v>
      </c>
      <c r="T263" t="s">
        <v>940</v>
      </c>
    </row>
    <row r="264" spans="1:20" x14ac:dyDescent="0.25">
      <c r="A264" t="s">
        <v>934</v>
      </c>
      <c r="B264" t="s">
        <v>23</v>
      </c>
      <c r="C264" t="s">
        <v>38</v>
      </c>
      <c r="D264" t="s">
        <v>881</v>
      </c>
      <c r="E264" t="s">
        <v>935</v>
      </c>
      <c r="F264" t="s">
        <v>936</v>
      </c>
      <c r="G264" t="s">
        <v>937</v>
      </c>
      <c r="H264" t="s">
        <v>341</v>
      </c>
      <c r="I264" t="s">
        <v>49</v>
      </c>
      <c r="J264" t="s">
        <v>417</v>
      </c>
      <c r="K264" t="s">
        <v>254</v>
      </c>
      <c r="L264" t="s">
        <v>254</v>
      </c>
      <c r="M264" t="s">
        <v>212</v>
      </c>
      <c r="N264" t="s">
        <v>941</v>
      </c>
      <c r="O264" t="s">
        <v>28</v>
      </c>
      <c r="P264" t="s">
        <v>28</v>
      </c>
      <c r="Q264" t="s">
        <v>48</v>
      </c>
      <c r="R264" t="s">
        <v>939</v>
      </c>
      <c r="S264" t="s">
        <v>47</v>
      </c>
      <c r="T264" t="s">
        <v>940</v>
      </c>
    </row>
    <row r="265" spans="1:20" x14ac:dyDescent="0.25">
      <c r="A265" t="s">
        <v>934</v>
      </c>
      <c r="B265" t="s">
        <v>23</v>
      </c>
      <c r="C265" t="s">
        <v>38</v>
      </c>
      <c r="D265" t="s">
        <v>881</v>
      </c>
      <c r="E265" t="s">
        <v>935</v>
      </c>
      <c r="F265" t="s">
        <v>936</v>
      </c>
      <c r="G265" t="s">
        <v>937</v>
      </c>
      <c r="H265" t="s">
        <v>341</v>
      </c>
      <c r="I265" t="s">
        <v>49</v>
      </c>
      <c r="J265" t="s">
        <v>216</v>
      </c>
      <c r="K265" t="s">
        <v>236</v>
      </c>
      <c r="L265" t="s">
        <v>225</v>
      </c>
      <c r="M265" t="s">
        <v>212</v>
      </c>
      <c r="N265" t="s">
        <v>941</v>
      </c>
      <c r="O265" t="s">
        <v>28</v>
      </c>
      <c r="P265" t="s">
        <v>28</v>
      </c>
      <c r="Q265" t="s">
        <v>48</v>
      </c>
      <c r="R265" t="s">
        <v>939</v>
      </c>
      <c r="S265" t="s">
        <v>47</v>
      </c>
      <c r="T265" t="s">
        <v>940</v>
      </c>
    </row>
    <row r="266" spans="1:20" x14ac:dyDescent="0.25">
      <c r="A266" t="s">
        <v>934</v>
      </c>
      <c r="B266" t="s">
        <v>23</v>
      </c>
      <c r="C266" t="s">
        <v>38</v>
      </c>
      <c r="D266" t="s">
        <v>881</v>
      </c>
      <c r="E266" t="s">
        <v>935</v>
      </c>
      <c r="F266" t="s">
        <v>936</v>
      </c>
      <c r="G266" t="s">
        <v>937</v>
      </c>
      <c r="H266" t="s">
        <v>341</v>
      </c>
      <c r="I266" t="s">
        <v>49</v>
      </c>
      <c r="J266" t="s">
        <v>257</v>
      </c>
      <c r="K266" t="s">
        <v>254</v>
      </c>
      <c r="L266" t="s">
        <v>254</v>
      </c>
      <c r="M266" t="s">
        <v>212</v>
      </c>
      <c r="N266" t="s">
        <v>213</v>
      </c>
      <c r="O266" t="s">
        <v>28</v>
      </c>
      <c r="P266" t="s">
        <v>28</v>
      </c>
      <c r="Q266" t="s">
        <v>48</v>
      </c>
      <c r="R266" t="s">
        <v>939</v>
      </c>
      <c r="S266" t="s">
        <v>47</v>
      </c>
      <c r="T266" t="s">
        <v>940</v>
      </c>
    </row>
    <row r="267" spans="1:20" x14ac:dyDescent="0.25">
      <c r="A267" t="s">
        <v>934</v>
      </c>
      <c r="B267" t="s">
        <v>23</v>
      </c>
      <c r="C267" t="s">
        <v>38</v>
      </c>
      <c r="D267" t="s">
        <v>881</v>
      </c>
      <c r="E267" t="s">
        <v>935</v>
      </c>
      <c r="F267" t="s">
        <v>936</v>
      </c>
      <c r="G267" t="s">
        <v>937</v>
      </c>
      <c r="H267" t="s">
        <v>341</v>
      </c>
      <c r="I267" t="s">
        <v>49</v>
      </c>
      <c r="J267" t="s">
        <v>262</v>
      </c>
      <c r="K267" t="s">
        <v>225</v>
      </c>
      <c r="L267" t="s">
        <v>225</v>
      </c>
      <c r="M267" t="s">
        <v>212</v>
      </c>
      <c r="N267" t="s">
        <v>213</v>
      </c>
      <c r="O267" t="s">
        <v>28</v>
      </c>
      <c r="P267" t="s">
        <v>28</v>
      </c>
      <c r="Q267" t="s">
        <v>48</v>
      </c>
      <c r="R267" t="s">
        <v>939</v>
      </c>
      <c r="S267" t="s">
        <v>47</v>
      </c>
      <c r="T267" t="s">
        <v>940</v>
      </c>
    </row>
    <row r="268" spans="1:20" x14ac:dyDescent="0.25">
      <c r="A268" t="s">
        <v>934</v>
      </c>
      <c r="B268" t="s">
        <v>23</v>
      </c>
      <c r="C268" t="s">
        <v>38</v>
      </c>
      <c r="D268" t="s">
        <v>881</v>
      </c>
      <c r="E268" t="s">
        <v>935</v>
      </c>
      <c r="F268" t="s">
        <v>936</v>
      </c>
      <c r="G268" t="s">
        <v>937</v>
      </c>
      <c r="H268" t="s">
        <v>341</v>
      </c>
      <c r="I268" t="s">
        <v>49</v>
      </c>
      <c r="J268" t="s">
        <v>224</v>
      </c>
      <c r="K268" t="s">
        <v>237</v>
      </c>
      <c r="L268" t="s">
        <v>223</v>
      </c>
      <c r="M268" t="s">
        <v>212</v>
      </c>
      <c r="N268" t="s">
        <v>942</v>
      </c>
      <c r="O268" t="s">
        <v>28</v>
      </c>
      <c r="P268" t="s">
        <v>28</v>
      </c>
      <c r="Q268" t="s">
        <v>48</v>
      </c>
      <c r="R268" t="s">
        <v>939</v>
      </c>
      <c r="S268" t="s">
        <v>47</v>
      </c>
      <c r="T268" t="s">
        <v>940</v>
      </c>
    </row>
    <row r="269" spans="1:20" x14ac:dyDescent="0.25">
      <c r="A269" t="s">
        <v>943</v>
      </c>
      <c r="B269" t="s">
        <v>23</v>
      </c>
      <c r="C269" t="s">
        <v>37</v>
      </c>
      <c r="D269" t="s">
        <v>881</v>
      </c>
      <c r="E269" t="s">
        <v>944</v>
      </c>
      <c r="F269" t="s">
        <v>945</v>
      </c>
      <c r="G269" t="s">
        <v>946</v>
      </c>
      <c r="H269" t="s">
        <v>947</v>
      </c>
      <c r="I269" t="s">
        <v>948</v>
      </c>
      <c r="J269" t="s">
        <v>271</v>
      </c>
      <c r="K269" t="s">
        <v>217</v>
      </c>
      <c r="L269" t="s">
        <v>237</v>
      </c>
      <c r="M269" t="s">
        <v>212</v>
      </c>
      <c r="N269" t="s">
        <v>213</v>
      </c>
      <c r="O269" t="s">
        <v>43</v>
      </c>
      <c r="P269" t="s">
        <v>28</v>
      </c>
      <c r="Q269" t="s">
        <v>946</v>
      </c>
      <c r="R269" t="s">
        <v>949</v>
      </c>
      <c r="S269" t="s">
        <v>47</v>
      </c>
      <c r="T269" t="s">
        <v>950</v>
      </c>
    </row>
    <row r="270" spans="1:20" x14ac:dyDescent="0.25">
      <c r="A270" t="s">
        <v>943</v>
      </c>
      <c r="B270" t="s">
        <v>23</v>
      </c>
      <c r="C270" t="s">
        <v>37</v>
      </c>
      <c r="D270" t="s">
        <v>881</v>
      </c>
      <c r="E270" t="s">
        <v>944</v>
      </c>
      <c r="F270" t="s">
        <v>945</v>
      </c>
      <c r="G270" t="s">
        <v>946</v>
      </c>
      <c r="H270" t="s">
        <v>947</v>
      </c>
      <c r="I270" t="s">
        <v>948</v>
      </c>
      <c r="J270" t="s">
        <v>216</v>
      </c>
      <c r="K270" t="s">
        <v>217</v>
      </c>
      <c r="L270" t="s">
        <v>225</v>
      </c>
      <c r="M270" t="s">
        <v>212</v>
      </c>
      <c r="N270" t="s">
        <v>213</v>
      </c>
      <c r="O270" t="s">
        <v>43</v>
      </c>
      <c r="P270" t="s">
        <v>28</v>
      </c>
      <c r="Q270" t="s">
        <v>946</v>
      </c>
      <c r="R270" t="s">
        <v>949</v>
      </c>
      <c r="S270" t="s">
        <v>47</v>
      </c>
      <c r="T270" t="s">
        <v>950</v>
      </c>
    </row>
    <row r="271" spans="1:20" x14ac:dyDescent="0.25">
      <c r="A271" t="s">
        <v>951</v>
      </c>
      <c r="B271" t="s">
        <v>23</v>
      </c>
      <c r="C271" t="s">
        <v>38</v>
      </c>
      <c r="D271" t="s">
        <v>881</v>
      </c>
      <c r="E271" t="s">
        <v>952</v>
      </c>
      <c r="F271" t="s">
        <v>953</v>
      </c>
      <c r="G271" t="s">
        <v>954</v>
      </c>
      <c r="H271" t="s">
        <v>955</v>
      </c>
      <c r="I271" t="s">
        <v>956</v>
      </c>
      <c r="J271" t="s">
        <v>230</v>
      </c>
      <c r="K271" t="s">
        <v>285</v>
      </c>
      <c r="L271" t="s">
        <v>285</v>
      </c>
      <c r="M271" t="s">
        <v>212</v>
      </c>
      <c r="N271" t="s">
        <v>213</v>
      </c>
      <c r="O271" t="s">
        <v>28</v>
      </c>
      <c r="P271" t="s">
        <v>28</v>
      </c>
      <c r="Q271" t="s">
        <v>954</v>
      </c>
      <c r="R271" t="s">
        <v>957</v>
      </c>
      <c r="S271" t="s">
        <v>47</v>
      </c>
      <c r="T271" t="s">
        <v>958</v>
      </c>
    </row>
    <row r="272" spans="1:20" x14ac:dyDescent="0.25">
      <c r="A272" t="s">
        <v>951</v>
      </c>
      <c r="B272" t="s">
        <v>23</v>
      </c>
      <c r="C272" t="s">
        <v>38</v>
      </c>
      <c r="D272" t="s">
        <v>881</v>
      </c>
      <c r="E272" t="s">
        <v>952</v>
      </c>
      <c r="F272" t="s">
        <v>953</v>
      </c>
      <c r="G272" t="s">
        <v>954</v>
      </c>
      <c r="H272" t="s">
        <v>955</v>
      </c>
      <c r="I272" t="s">
        <v>956</v>
      </c>
      <c r="J272" t="s">
        <v>697</v>
      </c>
      <c r="K272" t="s">
        <v>221</v>
      </c>
      <c r="L272" t="s">
        <v>221</v>
      </c>
      <c r="M272" t="s">
        <v>212</v>
      </c>
      <c r="N272" t="s">
        <v>213</v>
      </c>
      <c r="O272" t="s">
        <v>28</v>
      </c>
      <c r="P272" t="s">
        <v>28</v>
      </c>
      <c r="Q272" t="s">
        <v>954</v>
      </c>
      <c r="R272" t="s">
        <v>957</v>
      </c>
      <c r="S272" t="s">
        <v>47</v>
      </c>
      <c r="T272" t="s">
        <v>958</v>
      </c>
    </row>
    <row r="273" spans="1:20" x14ac:dyDescent="0.25">
      <c r="A273" t="s">
        <v>951</v>
      </c>
      <c r="B273" t="s">
        <v>23</v>
      </c>
      <c r="C273" t="s">
        <v>38</v>
      </c>
      <c r="D273" t="s">
        <v>881</v>
      </c>
      <c r="E273" t="s">
        <v>952</v>
      </c>
      <c r="F273" t="s">
        <v>953</v>
      </c>
      <c r="G273" t="s">
        <v>954</v>
      </c>
      <c r="H273" t="s">
        <v>955</v>
      </c>
      <c r="I273" t="s">
        <v>956</v>
      </c>
      <c r="J273" t="s">
        <v>347</v>
      </c>
      <c r="K273" t="s">
        <v>223</v>
      </c>
      <c r="L273" t="s">
        <v>223</v>
      </c>
      <c r="M273" t="s">
        <v>212</v>
      </c>
      <c r="N273" t="s">
        <v>213</v>
      </c>
      <c r="O273" t="s">
        <v>28</v>
      </c>
      <c r="P273" t="s">
        <v>28</v>
      </c>
      <c r="Q273" t="s">
        <v>954</v>
      </c>
      <c r="R273" t="s">
        <v>957</v>
      </c>
      <c r="S273" t="s">
        <v>47</v>
      </c>
      <c r="T273" t="s">
        <v>958</v>
      </c>
    </row>
    <row r="274" spans="1:20" x14ac:dyDescent="0.25">
      <c r="A274" t="s">
        <v>951</v>
      </c>
      <c r="B274" t="s">
        <v>23</v>
      </c>
      <c r="C274" t="s">
        <v>38</v>
      </c>
      <c r="D274" t="s">
        <v>881</v>
      </c>
      <c r="E274" t="s">
        <v>952</v>
      </c>
      <c r="F274" t="s">
        <v>953</v>
      </c>
      <c r="G274" t="s">
        <v>954</v>
      </c>
      <c r="H274" t="s">
        <v>955</v>
      </c>
      <c r="I274" t="s">
        <v>956</v>
      </c>
      <c r="J274" t="s">
        <v>258</v>
      </c>
      <c r="K274" t="s">
        <v>254</v>
      </c>
      <c r="L274" t="s">
        <v>254</v>
      </c>
      <c r="M274" t="s">
        <v>212</v>
      </c>
      <c r="N274" t="s">
        <v>213</v>
      </c>
      <c r="O274" t="s">
        <v>28</v>
      </c>
      <c r="P274" t="s">
        <v>28</v>
      </c>
      <c r="Q274" t="s">
        <v>954</v>
      </c>
      <c r="R274" t="s">
        <v>957</v>
      </c>
      <c r="S274" t="s">
        <v>47</v>
      </c>
      <c r="T274" t="s">
        <v>958</v>
      </c>
    </row>
    <row r="275" spans="1:20" x14ac:dyDescent="0.25">
      <c r="A275" t="s">
        <v>951</v>
      </c>
      <c r="B275" t="s">
        <v>23</v>
      </c>
      <c r="C275" t="s">
        <v>38</v>
      </c>
      <c r="D275" t="s">
        <v>881</v>
      </c>
      <c r="E275" t="s">
        <v>952</v>
      </c>
      <c r="F275" t="s">
        <v>953</v>
      </c>
      <c r="G275" t="s">
        <v>954</v>
      </c>
      <c r="H275" t="s">
        <v>955</v>
      </c>
      <c r="I275" t="s">
        <v>956</v>
      </c>
      <c r="J275" t="s">
        <v>257</v>
      </c>
      <c r="K275" t="s">
        <v>254</v>
      </c>
      <c r="L275" t="s">
        <v>254</v>
      </c>
      <c r="M275" t="s">
        <v>212</v>
      </c>
      <c r="N275" t="s">
        <v>213</v>
      </c>
      <c r="O275" t="s">
        <v>28</v>
      </c>
      <c r="P275" t="s">
        <v>28</v>
      </c>
      <c r="Q275" t="s">
        <v>954</v>
      </c>
      <c r="R275" t="s">
        <v>957</v>
      </c>
      <c r="S275" t="s">
        <v>47</v>
      </c>
      <c r="T275" t="s">
        <v>958</v>
      </c>
    </row>
    <row r="276" spans="1:20" x14ac:dyDescent="0.25">
      <c r="A276" t="s">
        <v>951</v>
      </c>
      <c r="B276" t="s">
        <v>23</v>
      </c>
      <c r="C276" t="s">
        <v>38</v>
      </c>
      <c r="D276" t="s">
        <v>881</v>
      </c>
      <c r="E276" t="s">
        <v>952</v>
      </c>
      <c r="F276" t="s">
        <v>953</v>
      </c>
      <c r="G276" t="s">
        <v>954</v>
      </c>
      <c r="H276" t="s">
        <v>955</v>
      </c>
      <c r="I276" t="s">
        <v>956</v>
      </c>
      <c r="J276" t="s">
        <v>262</v>
      </c>
      <c r="K276" t="s">
        <v>217</v>
      </c>
      <c r="L276" t="s">
        <v>217</v>
      </c>
      <c r="M276" t="s">
        <v>212</v>
      </c>
      <c r="N276" t="s">
        <v>213</v>
      </c>
      <c r="O276" t="s">
        <v>28</v>
      </c>
      <c r="P276" t="s">
        <v>28</v>
      </c>
      <c r="Q276" t="s">
        <v>954</v>
      </c>
      <c r="R276" t="s">
        <v>957</v>
      </c>
      <c r="S276" t="s">
        <v>47</v>
      </c>
      <c r="T276" t="s">
        <v>958</v>
      </c>
    </row>
    <row r="277" spans="1:20" x14ac:dyDescent="0.25">
      <c r="A277" t="s">
        <v>951</v>
      </c>
      <c r="B277" t="s">
        <v>23</v>
      </c>
      <c r="C277" t="s">
        <v>38</v>
      </c>
      <c r="D277" t="s">
        <v>881</v>
      </c>
      <c r="E277" t="s">
        <v>952</v>
      </c>
      <c r="F277" t="s">
        <v>953</v>
      </c>
      <c r="G277" t="s">
        <v>954</v>
      </c>
      <c r="H277" t="s">
        <v>955</v>
      </c>
      <c r="I277" t="s">
        <v>956</v>
      </c>
      <c r="J277" t="s">
        <v>220</v>
      </c>
      <c r="K277" t="s">
        <v>217</v>
      </c>
      <c r="L277" t="s">
        <v>217</v>
      </c>
      <c r="M277" t="s">
        <v>212</v>
      </c>
      <c r="N277" t="s">
        <v>213</v>
      </c>
      <c r="O277" t="s">
        <v>28</v>
      </c>
      <c r="P277" t="s">
        <v>28</v>
      </c>
      <c r="Q277" t="s">
        <v>954</v>
      </c>
      <c r="R277" t="s">
        <v>957</v>
      </c>
      <c r="S277" t="s">
        <v>47</v>
      </c>
      <c r="T277" t="s">
        <v>958</v>
      </c>
    </row>
    <row r="278" spans="1:20" x14ac:dyDescent="0.25">
      <c r="A278" t="s">
        <v>951</v>
      </c>
      <c r="B278" t="s">
        <v>23</v>
      </c>
      <c r="C278" t="s">
        <v>38</v>
      </c>
      <c r="D278" t="s">
        <v>881</v>
      </c>
      <c r="E278" t="s">
        <v>952</v>
      </c>
      <c r="F278" t="s">
        <v>953</v>
      </c>
      <c r="G278" t="s">
        <v>954</v>
      </c>
      <c r="H278" t="s">
        <v>955</v>
      </c>
      <c r="I278" t="s">
        <v>956</v>
      </c>
      <c r="J278" t="s">
        <v>290</v>
      </c>
      <c r="K278" t="s">
        <v>239</v>
      </c>
      <c r="L278" t="s">
        <v>239</v>
      </c>
      <c r="M278" t="s">
        <v>212</v>
      </c>
      <c r="N278" t="s">
        <v>213</v>
      </c>
      <c r="O278" t="s">
        <v>28</v>
      </c>
      <c r="P278" t="s">
        <v>28</v>
      </c>
      <c r="Q278" t="s">
        <v>954</v>
      </c>
      <c r="R278" t="s">
        <v>957</v>
      </c>
      <c r="S278" t="s">
        <v>47</v>
      </c>
      <c r="T278" t="s">
        <v>958</v>
      </c>
    </row>
    <row r="279" spans="1:20" x14ac:dyDescent="0.25">
      <c r="A279" t="s">
        <v>959</v>
      </c>
      <c r="B279" t="s">
        <v>23</v>
      </c>
      <c r="C279" t="s">
        <v>38</v>
      </c>
      <c r="D279" t="s">
        <v>881</v>
      </c>
      <c r="E279" t="s">
        <v>960</v>
      </c>
      <c r="F279" t="s">
        <v>246</v>
      </c>
      <c r="G279" t="s">
        <v>40</v>
      </c>
      <c r="H279" t="s">
        <v>247</v>
      </c>
      <c r="I279" t="s">
        <v>39</v>
      </c>
      <c r="J279" t="s">
        <v>222</v>
      </c>
      <c r="K279" t="s">
        <v>223</v>
      </c>
      <c r="L279" t="s">
        <v>237</v>
      </c>
      <c r="M279" t="s">
        <v>212</v>
      </c>
      <c r="N279" t="s">
        <v>213</v>
      </c>
      <c r="O279" t="s">
        <v>43</v>
      </c>
      <c r="P279" t="s">
        <v>28</v>
      </c>
      <c r="Q279" t="s">
        <v>39</v>
      </c>
      <c r="R279" t="s">
        <v>961</v>
      </c>
      <c r="S279" t="s">
        <v>47</v>
      </c>
      <c r="T279" t="s">
        <v>962</v>
      </c>
    </row>
    <row r="280" spans="1:20" x14ac:dyDescent="0.25">
      <c r="A280" t="s">
        <v>959</v>
      </c>
      <c r="B280" t="s">
        <v>23</v>
      </c>
      <c r="C280" t="s">
        <v>38</v>
      </c>
      <c r="D280" t="s">
        <v>881</v>
      </c>
      <c r="E280" t="s">
        <v>960</v>
      </c>
      <c r="F280" t="s">
        <v>246</v>
      </c>
      <c r="G280" t="s">
        <v>40</v>
      </c>
      <c r="H280" t="s">
        <v>247</v>
      </c>
      <c r="I280" t="s">
        <v>39</v>
      </c>
      <c r="J280" t="s">
        <v>216</v>
      </c>
      <c r="K280" t="s">
        <v>217</v>
      </c>
      <c r="L280" t="s">
        <v>225</v>
      </c>
      <c r="M280" t="s">
        <v>212</v>
      </c>
      <c r="N280" t="s">
        <v>213</v>
      </c>
      <c r="O280" t="s">
        <v>43</v>
      </c>
      <c r="P280" t="s">
        <v>28</v>
      </c>
      <c r="Q280" t="s">
        <v>39</v>
      </c>
      <c r="R280" t="s">
        <v>961</v>
      </c>
      <c r="S280" t="s">
        <v>47</v>
      </c>
      <c r="T280" t="s">
        <v>962</v>
      </c>
    </row>
    <row r="281" spans="1:20" x14ac:dyDescent="0.25">
      <c r="A281" t="s">
        <v>963</v>
      </c>
      <c r="B281" t="s">
        <v>23</v>
      </c>
      <c r="C281" t="s">
        <v>24</v>
      </c>
      <c r="D281" t="s">
        <v>881</v>
      </c>
      <c r="E281" t="s">
        <v>298</v>
      </c>
      <c r="F281" t="s">
        <v>299</v>
      </c>
      <c r="G281" t="s">
        <v>97</v>
      </c>
      <c r="H281" t="s">
        <v>300</v>
      </c>
      <c r="I281" t="s">
        <v>98</v>
      </c>
      <c r="J281" t="s">
        <v>224</v>
      </c>
      <c r="K281" t="s">
        <v>223</v>
      </c>
      <c r="L281" t="s">
        <v>223</v>
      </c>
      <c r="M281" t="s">
        <v>212</v>
      </c>
      <c r="N281" t="s">
        <v>213</v>
      </c>
      <c r="O281" t="s">
        <v>28</v>
      </c>
      <c r="P281" t="s">
        <v>28</v>
      </c>
      <c r="Q281" t="s">
        <v>97</v>
      </c>
      <c r="R281" t="s">
        <v>964</v>
      </c>
      <c r="S281" t="s">
        <v>33</v>
      </c>
      <c r="T281" t="s">
        <v>965</v>
      </c>
    </row>
    <row r="282" spans="1:20" x14ac:dyDescent="0.25">
      <c r="A282" t="s">
        <v>966</v>
      </c>
      <c r="B282" t="s">
        <v>23</v>
      </c>
      <c r="C282" t="s">
        <v>24</v>
      </c>
      <c r="D282" t="s">
        <v>881</v>
      </c>
      <c r="E282" t="s">
        <v>773</v>
      </c>
      <c r="F282" t="s">
        <v>320</v>
      </c>
      <c r="G282" t="s">
        <v>59</v>
      </c>
      <c r="H282" t="s">
        <v>321</v>
      </c>
      <c r="I282" t="s">
        <v>60</v>
      </c>
      <c r="J282" t="s">
        <v>230</v>
      </c>
      <c r="K282" t="s">
        <v>285</v>
      </c>
      <c r="L282" t="s">
        <v>285</v>
      </c>
      <c r="M282" t="s">
        <v>212</v>
      </c>
      <c r="N282" t="s">
        <v>213</v>
      </c>
      <c r="O282" t="s">
        <v>28</v>
      </c>
      <c r="P282" t="s">
        <v>28</v>
      </c>
      <c r="Q282" t="s">
        <v>59</v>
      </c>
      <c r="R282" t="s">
        <v>967</v>
      </c>
      <c r="S282" t="s">
        <v>47</v>
      </c>
      <c r="T282" t="s">
        <v>968</v>
      </c>
    </row>
    <row r="283" spans="1:20" x14ac:dyDescent="0.25">
      <c r="A283" t="s">
        <v>966</v>
      </c>
      <c r="B283" t="s">
        <v>23</v>
      </c>
      <c r="C283" t="s">
        <v>24</v>
      </c>
      <c r="D283" t="s">
        <v>881</v>
      </c>
      <c r="E283" t="s">
        <v>773</v>
      </c>
      <c r="F283" t="s">
        <v>320</v>
      </c>
      <c r="G283" t="s">
        <v>59</v>
      </c>
      <c r="H283" t="s">
        <v>321</v>
      </c>
      <c r="I283" t="s">
        <v>60</v>
      </c>
      <c r="J283" t="s">
        <v>222</v>
      </c>
      <c r="K283" t="s">
        <v>223</v>
      </c>
      <c r="L283" t="s">
        <v>237</v>
      </c>
      <c r="M283" t="s">
        <v>212</v>
      </c>
      <c r="N283" t="s">
        <v>213</v>
      </c>
      <c r="O283" t="s">
        <v>28</v>
      </c>
      <c r="P283" t="s">
        <v>28</v>
      </c>
      <c r="Q283" t="s">
        <v>59</v>
      </c>
      <c r="R283" t="s">
        <v>967</v>
      </c>
      <c r="S283" t="s">
        <v>47</v>
      </c>
      <c r="T283" t="s">
        <v>968</v>
      </c>
    </row>
    <row r="284" spans="1:20" x14ac:dyDescent="0.25">
      <c r="A284" t="s">
        <v>969</v>
      </c>
      <c r="B284" t="s">
        <v>23</v>
      </c>
      <c r="C284" t="s">
        <v>38</v>
      </c>
      <c r="D284" t="s">
        <v>881</v>
      </c>
      <c r="E284" t="s">
        <v>970</v>
      </c>
      <c r="F284" t="s">
        <v>971</v>
      </c>
      <c r="G284" t="s">
        <v>972</v>
      </c>
      <c r="H284" t="s">
        <v>973</v>
      </c>
      <c r="I284" t="s">
        <v>974</v>
      </c>
      <c r="J284" t="s">
        <v>291</v>
      </c>
      <c r="K284" t="s">
        <v>236</v>
      </c>
      <c r="L284" t="s">
        <v>236</v>
      </c>
      <c r="M284" t="s">
        <v>212</v>
      </c>
      <c r="N284" t="s">
        <v>213</v>
      </c>
      <c r="O284" t="s">
        <v>28</v>
      </c>
      <c r="P284" t="s">
        <v>28</v>
      </c>
      <c r="Q284" t="s">
        <v>972</v>
      </c>
      <c r="R284" t="s">
        <v>975</v>
      </c>
      <c r="S284" t="s">
        <v>47</v>
      </c>
      <c r="T284" t="s">
        <v>976</v>
      </c>
    </row>
    <row r="285" spans="1:20" x14ac:dyDescent="0.25">
      <c r="A285" t="s">
        <v>969</v>
      </c>
      <c r="B285" t="s">
        <v>23</v>
      </c>
      <c r="C285" t="s">
        <v>38</v>
      </c>
      <c r="D285" t="s">
        <v>881</v>
      </c>
      <c r="E285" t="s">
        <v>970</v>
      </c>
      <c r="F285" t="s">
        <v>971</v>
      </c>
      <c r="G285" t="s">
        <v>972</v>
      </c>
      <c r="H285" t="s">
        <v>973</v>
      </c>
      <c r="I285" t="s">
        <v>974</v>
      </c>
      <c r="J285" t="s">
        <v>230</v>
      </c>
      <c r="K285" t="s">
        <v>221</v>
      </c>
      <c r="L285" t="s">
        <v>221</v>
      </c>
      <c r="M285" t="s">
        <v>212</v>
      </c>
      <c r="N285" t="s">
        <v>213</v>
      </c>
      <c r="O285" t="s">
        <v>28</v>
      </c>
      <c r="P285" t="s">
        <v>28</v>
      </c>
      <c r="Q285" t="s">
        <v>972</v>
      </c>
      <c r="R285" t="s">
        <v>975</v>
      </c>
      <c r="S285" t="s">
        <v>47</v>
      </c>
      <c r="T285" t="s">
        <v>976</v>
      </c>
    </row>
    <row r="286" spans="1:20" x14ac:dyDescent="0.25">
      <c r="A286" t="s">
        <v>969</v>
      </c>
      <c r="B286" t="s">
        <v>23</v>
      </c>
      <c r="C286" t="s">
        <v>38</v>
      </c>
      <c r="D286" t="s">
        <v>881</v>
      </c>
      <c r="E286" t="s">
        <v>970</v>
      </c>
      <c r="F286" t="s">
        <v>971</v>
      </c>
      <c r="G286" t="s">
        <v>972</v>
      </c>
      <c r="H286" t="s">
        <v>973</v>
      </c>
      <c r="I286" t="s">
        <v>974</v>
      </c>
      <c r="J286" t="s">
        <v>222</v>
      </c>
      <c r="K286" t="s">
        <v>223</v>
      </c>
      <c r="L286" t="s">
        <v>237</v>
      </c>
      <c r="M286" t="s">
        <v>212</v>
      </c>
      <c r="N286" t="s">
        <v>213</v>
      </c>
      <c r="O286" t="s">
        <v>28</v>
      </c>
      <c r="P286" t="s">
        <v>28</v>
      </c>
      <c r="Q286" t="s">
        <v>972</v>
      </c>
      <c r="R286" t="s">
        <v>975</v>
      </c>
      <c r="S286" t="s">
        <v>47</v>
      </c>
      <c r="T286" t="s">
        <v>976</v>
      </c>
    </row>
    <row r="287" spans="1:20" x14ac:dyDescent="0.25">
      <c r="A287" t="s">
        <v>969</v>
      </c>
      <c r="B287" t="s">
        <v>23</v>
      </c>
      <c r="C287" t="s">
        <v>38</v>
      </c>
      <c r="D287" t="s">
        <v>881</v>
      </c>
      <c r="E287" t="s">
        <v>970</v>
      </c>
      <c r="F287" t="s">
        <v>971</v>
      </c>
      <c r="G287" t="s">
        <v>972</v>
      </c>
      <c r="H287" t="s">
        <v>973</v>
      </c>
      <c r="I287" t="s">
        <v>974</v>
      </c>
      <c r="J287" t="s">
        <v>258</v>
      </c>
      <c r="K287" t="s">
        <v>217</v>
      </c>
      <c r="L287" t="s">
        <v>217</v>
      </c>
      <c r="M287" t="s">
        <v>212</v>
      </c>
      <c r="N287" t="s">
        <v>213</v>
      </c>
      <c r="O287" t="s">
        <v>28</v>
      </c>
      <c r="P287" t="s">
        <v>28</v>
      </c>
      <c r="Q287" t="s">
        <v>972</v>
      </c>
      <c r="R287" t="s">
        <v>975</v>
      </c>
      <c r="S287" t="s">
        <v>47</v>
      </c>
      <c r="T287" t="s">
        <v>976</v>
      </c>
    </row>
    <row r="288" spans="1:20" x14ac:dyDescent="0.25">
      <c r="A288" t="s">
        <v>977</v>
      </c>
      <c r="B288" t="s">
        <v>23</v>
      </c>
      <c r="C288" t="s">
        <v>24</v>
      </c>
      <c r="D288" t="s">
        <v>881</v>
      </c>
      <c r="E288" t="s">
        <v>226</v>
      </c>
      <c r="F288" t="s">
        <v>227</v>
      </c>
      <c r="G288" t="s">
        <v>141</v>
      </c>
      <c r="H288" t="s">
        <v>228</v>
      </c>
      <c r="I288" t="s">
        <v>142</v>
      </c>
      <c r="J288" t="s">
        <v>216</v>
      </c>
      <c r="K288" t="s">
        <v>225</v>
      </c>
      <c r="L288" t="s">
        <v>225</v>
      </c>
      <c r="M288" t="s">
        <v>212</v>
      </c>
      <c r="N288" t="s">
        <v>213</v>
      </c>
      <c r="O288" t="s">
        <v>28</v>
      </c>
      <c r="P288" t="s">
        <v>28</v>
      </c>
      <c r="Q288" t="s">
        <v>141</v>
      </c>
      <c r="R288" t="s">
        <v>978</v>
      </c>
      <c r="S288" t="s">
        <v>47</v>
      </c>
      <c r="T288" t="s">
        <v>979</v>
      </c>
    </row>
    <row r="289" spans="1:20" x14ac:dyDescent="0.25">
      <c r="A289" t="s">
        <v>977</v>
      </c>
      <c r="B289" t="s">
        <v>23</v>
      </c>
      <c r="C289" t="s">
        <v>24</v>
      </c>
      <c r="D289" t="s">
        <v>881</v>
      </c>
      <c r="E289" t="s">
        <v>226</v>
      </c>
      <c r="F289" t="s">
        <v>227</v>
      </c>
      <c r="G289" t="s">
        <v>141</v>
      </c>
      <c r="H289" t="s">
        <v>228</v>
      </c>
      <c r="I289" t="s">
        <v>142</v>
      </c>
      <c r="J289" t="s">
        <v>222</v>
      </c>
      <c r="K289" t="s">
        <v>237</v>
      </c>
      <c r="L289" t="s">
        <v>237</v>
      </c>
      <c r="M289" t="s">
        <v>212</v>
      </c>
      <c r="N289" t="s">
        <v>213</v>
      </c>
      <c r="O289" t="s">
        <v>28</v>
      </c>
      <c r="P289" t="s">
        <v>28</v>
      </c>
      <c r="Q289" t="s">
        <v>141</v>
      </c>
      <c r="R289" t="s">
        <v>978</v>
      </c>
      <c r="S289" t="s">
        <v>47</v>
      </c>
      <c r="T289" t="s">
        <v>979</v>
      </c>
    </row>
    <row r="290" spans="1:20" x14ac:dyDescent="0.25">
      <c r="A290" t="s">
        <v>977</v>
      </c>
      <c r="B290" t="s">
        <v>23</v>
      </c>
      <c r="C290" t="s">
        <v>24</v>
      </c>
      <c r="D290" t="s">
        <v>881</v>
      </c>
      <c r="E290" t="s">
        <v>226</v>
      </c>
      <c r="F290" t="s">
        <v>227</v>
      </c>
      <c r="G290" t="s">
        <v>141</v>
      </c>
      <c r="H290" t="s">
        <v>228</v>
      </c>
      <c r="I290" t="s">
        <v>142</v>
      </c>
      <c r="J290" t="s">
        <v>262</v>
      </c>
      <c r="K290" t="s">
        <v>225</v>
      </c>
      <c r="L290" t="s">
        <v>225</v>
      </c>
      <c r="M290" t="s">
        <v>212</v>
      </c>
      <c r="N290" t="s">
        <v>213</v>
      </c>
      <c r="O290" t="s">
        <v>28</v>
      </c>
      <c r="P290" t="s">
        <v>28</v>
      </c>
      <c r="Q290" t="s">
        <v>141</v>
      </c>
      <c r="R290" t="s">
        <v>978</v>
      </c>
      <c r="S290" t="s">
        <v>47</v>
      </c>
      <c r="T290" t="s">
        <v>979</v>
      </c>
    </row>
    <row r="291" spans="1:20" x14ac:dyDescent="0.25">
      <c r="A291" t="s">
        <v>977</v>
      </c>
      <c r="B291" t="s">
        <v>23</v>
      </c>
      <c r="C291" t="s">
        <v>24</v>
      </c>
      <c r="D291" t="s">
        <v>881</v>
      </c>
      <c r="E291" t="s">
        <v>226</v>
      </c>
      <c r="F291" t="s">
        <v>227</v>
      </c>
      <c r="G291" t="s">
        <v>141</v>
      </c>
      <c r="H291" t="s">
        <v>228</v>
      </c>
      <c r="I291" t="s">
        <v>142</v>
      </c>
      <c r="J291" t="s">
        <v>291</v>
      </c>
      <c r="K291" t="s">
        <v>225</v>
      </c>
      <c r="L291" t="s">
        <v>225</v>
      </c>
      <c r="M291" t="s">
        <v>212</v>
      </c>
      <c r="N291" t="s">
        <v>213</v>
      </c>
      <c r="O291" t="s">
        <v>28</v>
      </c>
      <c r="P291" t="s">
        <v>28</v>
      </c>
      <c r="Q291" t="s">
        <v>141</v>
      </c>
      <c r="R291" t="s">
        <v>978</v>
      </c>
      <c r="S291" t="s">
        <v>47</v>
      </c>
      <c r="T291" t="s">
        <v>979</v>
      </c>
    </row>
    <row r="292" spans="1:20" x14ac:dyDescent="0.25">
      <c r="A292" t="s">
        <v>980</v>
      </c>
      <c r="B292" t="s">
        <v>23</v>
      </c>
      <c r="C292" t="s">
        <v>24</v>
      </c>
      <c r="D292" t="s">
        <v>881</v>
      </c>
      <c r="E292" t="s">
        <v>981</v>
      </c>
      <c r="F292" t="s">
        <v>594</v>
      </c>
      <c r="G292" t="s">
        <v>595</v>
      </c>
      <c r="H292" t="s">
        <v>596</v>
      </c>
      <c r="I292" t="s">
        <v>597</v>
      </c>
      <c r="J292" t="s">
        <v>697</v>
      </c>
      <c r="K292" t="s">
        <v>254</v>
      </c>
      <c r="L292" t="s">
        <v>254</v>
      </c>
      <c r="M292" t="s">
        <v>212</v>
      </c>
      <c r="N292" t="s">
        <v>213</v>
      </c>
      <c r="O292" t="s">
        <v>28</v>
      </c>
      <c r="P292" t="s">
        <v>28</v>
      </c>
      <c r="Q292" t="s">
        <v>599</v>
      </c>
      <c r="R292" t="s">
        <v>982</v>
      </c>
      <c r="S292" t="s">
        <v>47</v>
      </c>
      <c r="T292" t="s">
        <v>983</v>
      </c>
    </row>
    <row r="293" spans="1:20" x14ac:dyDescent="0.25">
      <c r="A293" t="s">
        <v>984</v>
      </c>
      <c r="B293" t="s">
        <v>23</v>
      </c>
      <c r="C293" t="s">
        <v>24</v>
      </c>
      <c r="D293" t="s">
        <v>881</v>
      </c>
      <c r="E293" t="s">
        <v>985</v>
      </c>
      <c r="F293" t="s">
        <v>986</v>
      </c>
      <c r="G293" t="s">
        <v>987</v>
      </c>
      <c r="H293" t="s">
        <v>988</v>
      </c>
      <c r="I293" t="s">
        <v>989</v>
      </c>
      <c r="J293" t="s">
        <v>222</v>
      </c>
      <c r="K293" t="s">
        <v>219</v>
      </c>
      <c r="L293" t="s">
        <v>237</v>
      </c>
      <c r="M293" t="s">
        <v>212</v>
      </c>
      <c r="N293" t="s">
        <v>213</v>
      </c>
      <c r="O293" t="s">
        <v>28</v>
      </c>
      <c r="P293" t="s">
        <v>28</v>
      </c>
      <c r="Q293" t="s">
        <v>987</v>
      </c>
      <c r="R293" t="s">
        <v>990</v>
      </c>
      <c r="S293" t="s">
        <v>47</v>
      </c>
      <c r="T293" t="s">
        <v>991</v>
      </c>
    </row>
    <row r="294" spans="1:20" x14ac:dyDescent="0.25">
      <c r="A294" t="s">
        <v>984</v>
      </c>
      <c r="B294" t="s">
        <v>23</v>
      </c>
      <c r="C294" t="s">
        <v>24</v>
      </c>
      <c r="D294" t="s">
        <v>881</v>
      </c>
      <c r="E294" t="s">
        <v>985</v>
      </c>
      <c r="F294" t="s">
        <v>986</v>
      </c>
      <c r="G294" t="s">
        <v>987</v>
      </c>
      <c r="H294" t="s">
        <v>988</v>
      </c>
      <c r="I294" t="s">
        <v>989</v>
      </c>
      <c r="J294" t="s">
        <v>216</v>
      </c>
      <c r="K294" t="s">
        <v>225</v>
      </c>
      <c r="L294" t="s">
        <v>225</v>
      </c>
      <c r="M294" t="s">
        <v>212</v>
      </c>
      <c r="N294" t="s">
        <v>213</v>
      </c>
      <c r="O294" t="s">
        <v>28</v>
      </c>
      <c r="P294" t="s">
        <v>28</v>
      </c>
      <c r="Q294" t="s">
        <v>987</v>
      </c>
      <c r="R294" t="s">
        <v>990</v>
      </c>
      <c r="S294" t="s">
        <v>47</v>
      </c>
      <c r="T294" t="s">
        <v>991</v>
      </c>
    </row>
    <row r="295" spans="1:20" x14ac:dyDescent="0.25">
      <c r="A295" t="s">
        <v>984</v>
      </c>
      <c r="B295" t="s">
        <v>23</v>
      </c>
      <c r="C295" t="s">
        <v>24</v>
      </c>
      <c r="D295" t="s">
        <v>881</v>
      </c>
      <c r="E295" t="s">
        <v>985</v>
      </c>
      <c r="F295" t="s">
        <v>986</v>
      </c>
      <c r="G295" t="s">
        <v>987</v>
      </c>
      <c r="H295" t="s">
        <v>988</v>
      </c>
      <c r="I295" t="s">
        <v>989</v>
      </c>
      <c r="J295" t="s">
        <v>697</v>
      </c>
      <c r="K295" t="s">
        <v>219</v>
      </c>
      <c r="L295" t="s">
        <v>239</v>
      </c>
      <c r="M295" t="s">
        <v>212</v>
      </c>
      <c r="N295" t="s">
        <v>213</v>
      </c>
      <c r="O295" t="s">
        <v>28</v>
      </c>
      <c r="P295" t="s">
        <v>28</v>
      </c>
      <c r="Q295" t="s">
        <v>987</v>
      </c>
      <c r="R295" t="s">
        <v>990</v>
      </c>
      <c r="S295" t="s">
        <v>47</v>
      </c>
      <c r="T295" t="s">
        <v>991</v>
      </c>
    </row>
    <row r="296" spans="1:20" x14ac:dyDescent="0.25">
      <c r="A296" t="s">
        <v>992</v>
      </c>
      <c r="B296" t="s">
        <v>23</v>
      </c>
      <c r="C296" t="s">
        <v>24</v>
      </c>
      <c r="D296" t="s">
        <v>881</v>
      </c>
      <c r="E296" t="s">
        <v>5</v>
      </c>
      <c r="F296" t="s">
        <v>314</v>
      </c>
      <c r="G296" t="s">
        <v>31</v>
      </c>
      <c r="H296" t="s">
        <v>315</v>
      </c>
      <c r="I296" t="s">
        <v>32</v>
      </c>
      <c r="J296" t="s">
        <v>216</v>
      </c>
      <c r="K296" t="s">
        <v>217</v>
      </c>
      <c r="L296" t="s">
        <v>225</v>
      </c>
      <c r="M296" t="s">
        <v>212</v>
      </c>
      <c r="N296" t="s">
        <v>213</v>
      </c>
      <c r="O296" t="s">
        <v>28</v>
      </c>
      <c r="P296" t="s">
        <v>28</v>
      </c>
      <c r="Q296" t="s">
        <v>621</v>
      </c>
      <c r="R296" t="s">
        <v>993</v>
      </c>
      <c r="S296" t="s">
        <v>47</v>
      </c>
      <c r="T296" t="s">
        <v>994</v>
      </c>
    </row>
    <row r="297" spans="1:20" x14ac:dyDescent="0.25">
      <c r="A297" t="s">
        <v>992</v>
      </c>
      <c r="B297" t="s">
        <v>23</v>
      </c>
      <c r="C297" t="s">
        <v>24</v>
      </c>
      <c r="D297" t="s">
        <v>881</v>
      </c>
      <c r="E297" t="s">
        <v>5</v>
      </c>
      <c r="F297" t="s">
        <v>314</v>
      </c>
      <c r="G297" t="s">
        <v>31</v>
      </c>
      <c r="H297" t="s">
        <v>315</v>
      </c>
      <c r="I297" t="s">
        <v>32</v>
      </c>
      <c r="J297" t="s">
        <v>222</v>
      </c>
      <c r="K297" t="s">
        <v>237</v>
      </c>
      <c r="L297" t="s">
        <v>237</v>
      </c>
      <c r="M297" t="s">
        <v>212</v>
      </c>
      <c r="N297" t="s">
        <v>213</v>
      </c>
      <c r="O297" t="s">
        <v>28</v>
      </c>
      <c r="P297" t="s">
        <v>28</v>
      </c>
      <c r="Q297" t="s">
        <v>621</v>
      </c>
      <c r="R297" t="s">
        <v>993</v>
      </c>
      <c r="S297" t="s">
        <v>47</v>
      </c>
      <c r="T297" t="s">
        <v>994</v>
      </c>
    </row>
    <row r="298" spans="1:20" x14ac:dyDescent="0.25">
      <c r="A298" t="s">
        <v>992</v>
      </c>
      <c r="B298" t="s">
        <v>23</v>
      </c>
      <c r="C298" t="s">
        <v>24</v>
      </c>
      <c r="D298" t="s">
        <v>881</v>
      </c>
      <c r="E298" t="s">
        <v>5</v>
      </c>
      <c r="F298" t="s">
        <v>314</v>
      </c>
      <c r="G298" t="s">
        <v>31</v>
      </c>
      <c r="H298" t="s">
        <v>315</v>
      </c>
      <c r="I298" t="s">
        <v>32</v>
      </c>
      <c r="J298" t="s">
        <v>230</v>
      </c>
      <c r="K298" t="s">
        <v>239</v>
      </c>
      <c r="L298" t="s">
        <v>933</v>
      </c>
      <c r="M298" t="s">
        <v>212</v>
      </c>
      <c r="N298" t="s">
        <v>213</v>
      </c>
      <c r="O298" t="s">
        <v>28</v>
      </c>
      <c r="P298" t="s">
        <v>28</v>
      </c>
      <c r="Q298" t="s">
        <v>621</v>
      </c>
      <c r="R298" t="s">
        <v>993</v>
      </c>
      <c r="S298" t="s">
        <v>47</v>
      </c>
      <c r="T298" t="s">
        <v>994</v>
      </c>
    </row>
    <row r="299" spans="1:20" x14ac:dyDescent="0.25">
      <c r="A299" t="s">
        <v>995</v>
      </c>
      <c r="B299" t="s">
        <v>23</v>
      </c>
      <c r="C299" t="s">
        <v>24</v>
      </c>
      <c r="D299" t="s">
        <v>881</v>
      </c>
      <c r="E299" t="s">
        <v>996</v>
      </c>
      <c r="F299" t="s">
        <v>362</v>
      </c>
      <c r="G299" t="s">
        <v>51</v>
      </c>
      <c r="H299" t="s">
        <v>363</v>
      </c>
      <c r="I299" t="s">
        <v>52</v>
      </c>
      <c r="J299" t="s">
        <v>258</v>
      </c>
      <c r="K299" t="s">
        <v>231</v>
      </c>
      <c r="L299" t="s">
        <v>231</v>
      </c>
      <c r="M299" t="s">
        <v>212</v>
      </c>
      <c r="N299" t="s">
        <v>213</v>
      </c>
      <c r="O299" t="s">
        <v>28</v>
      </c>
      <c r="P299" t="s">
        <v>28</v>
      </c>
      <c r="Q299" t="s">
        <v>51</v>
      </c>
      <c r="R299" t="s">
        <v>997</v>
      </c>
      <c r="S299" t="s">
        <v>47</v>
      </c>
      <c r="T299" t="s">
        <v>998</v>
      </c>
    </row>
    <row r="300" spans="1:20" x14ac:dyDescent="0.25">
      <c r="A300" t="s">
        <v>995</v>
      </c>
      <c r="B300" t="s">
        <v>23</v>
      </c>
      <c r="C300" t="s">
        <v>24</v>
      </c>
      <c r="D300" t="s">
        <v>881</v>
      </c>
      <c r="E300" t="s">
        <v>996</v>
      </c>
      <c r="F300" t="s">
        <v>362</v>
      </c>
      <c r="G300" t="s">
        <v>51</v>
      </c>
      <c r="H300" t="s">
        <v>363</v>
      </c>
      <c r="I300" t="s">
        <v>52</v>
      </c>
      <c r="J300" t="s">
        <v>230</v>
      </c>
      <c r="K300" t="s">
        <v>239</v>
      </c>
      <c r="L300" t="s">
        <v>239</v>
      </c>
      <c r="M300" t="s">
        <v>212</v>
      </c>
      <c r="N300" t="s">
        <v>213</v>
      </c>
      <c r="O300" t="s">
        <v>28</v>
      </c>
      <c r="P300" t="s">
        <v>28</v>
      </c>
      <c r="Q300" t="s">
        <v>51</v>
      </c>
      <c r="R300" t="s">
        <v>997</v>
      </c>
      <c r="S300" t="s">
        <v>47</v>
      </c>
      <c r="T300" t="s">
        <v>998</v>
      </c>
    </row>
    <row r="301" spans="1:20" x14ac:dyDescent="0.25">
      <c r="A301" t="s">
        <v>995</v>
      </c>
      <c r="B301" t="s">
        <v>23</v>
      </c>
      <c r="C301" t="s">
        <v>24</v>
      </c>
      <c r="D301" t="s">
        <v>881</v>
      </c>
      <c r="E301" t="s">
        <v>996</v>
      </c>
      <c r="F301" t="s">
        <v>362</v>
      </c>
      <c r="G301" t="s">
        <v>51</v>
      </c>
      <c r="H301" t="s">
        <v>363</v>
      </c>
      <c r="I301" t="s">
        <v>52</v>
      </c>
      <c r="J301" t="s">
        <v>216</v>
      </c>
      <c r="K301" t="s">
        <v>217</v>
      </c>
      <c r="L301" t="s">
        <v>225</v>
      </c>
      <c r="M301" t="s">
        <v>212</v>
      </c>
      <c r="N301" t="s">
        <v>213</v>
      </c>
      <c r="O301" t="s">
        <v>28</v>
      </c>
      <c r="P301" t="s">
        <v>28</v>
      </c>
      <c r="Q301" t="s">
        <v>51</v>
      </c>
      <c r="R301" t="s">
        <v>997</v>
      </c>
      <c r="S301" t="s">
        <v>47</v>
      </c>
      <c r="T301" t="s">
        <v>998</v>
      </c>
    </row>
    <row r="302" spans="1:20" x14ac:dyDescent="0.25">
      <c r="A302" t="s">
        <v>995</v>
      </c>
      <c r="B302" t="s">
        <v>23</v>
      </c>
      <c r="C302" t="s">
        <v>24</v>
      </c>
      <c r="D302" t="s">
        <v>881</v>
      </c>
      <c r="E302" t="s">
        <v>996</v>
      </c>
      <c r="F302" t="s">
        <v>362</v>
      </c>
      <c r="G302" t="s">
        <v>51</v>
      </c>
      <c r="H302" t="s">
        <v>363</v>
      </c>
      <c r="I302" t="s">
        <v>52</v>
      </c>
      <c r="J302" t="s">
        <v>224</v>
      </c>
      <c r="K302" t="s">
        <v>223</v>
      </c>
      <c r="L302" t="s">
        <v>223</v>
      </c>
      <c r="M302" t="s">
        <v>212</v>
      </c>
      <c r="N302" t="s">
        <v>213</v>
      </c>
      <c r="O302" t="s">
        <v>28</v>
      </c>
      <c r="P302" t="s">
        <v>28</v>
      </c>
      <c r="Q302" t="s">
        <v>51</v>
      </c>
      <c r="R302" t="s">
        <v>997</v>
      </c>
      <c r="S302" t="s">
        <v>47</v>
      </c>
      <c r="T302" t="s">
        <v>998</v>
      </c>
    </row>
    <row r="303" spans="1:20" x14ac:dyDescent="0.25">
      <c r="A303" t="s">
        <v>999</v>
      </c>
      <c r="B303" t="s">
        <v>23</v>
      </c>
      <c r="C303" t="s">
        <v>38</v>
      </c>
      <c r="D303" t="s">
        <v>881</v>
      </c>
      <c r="E303" t="s">
        <v>1000</v>
      </c>
      <c r="F303" t="s">
        <v>232</v>
      </c>
      <c r="G303" t="s">
        <v>42</v>
      </c>
      <c r="H303" t="s">
        <v>233</v>
      </c>
      <c r="I303" t="s">
        <v>41</v>
      </c>
      <c r="J303" t="s">
        <v>230</v>
      </c>
      <c r="K303" t="s">
        <v>240</v>
      </c>
      <c r="L303" t="s">
        <v>240</v>
      </c>
      <c r="M303" t="s">
        <v>212</v>
      </c>
      <c r="N303" t="s">
        <v>213</v>
      </c>
      <c r="O303" t="s">
        <v>28</v>
      </c>
      <c r="P303" t="s">
        <v>28</v>
      </c>
      <c r="Q303" t="s">
        <v>42</v>
      </c>
      <c r="R303" t="s">
        <v>1001</v>
      </c>
      <c r="S303" t="s">
        <v>47</v>
      </c>
      <c r="T303" t="s">
        <v>1002</v>
      </c>
    </row>
    <row r="304" spans="1:20" x14ac:dyDescent="0.25">
      <c r="A304" t="s">
        <v>1003</v>
      </c>
      <c r="B304" t="s">
        <v>23</v>
      </c>
      <c r="C304" t="s">
        <v>37</v>
      </c>
      <c r="D304" t="s">
        <v>881</v>
      </c>
      <c r="E304" t="s">
        <v>1004</v>
      </c>
      <c r="F304" t="s">
        <v>404</v>
      </c>
      <c r="G304" t="s">
        <v>405</v>
      </c>
      <c r="H304" t="s">
        <v>263</v>
      </c>
      <c r="I304" t="s">
        <v>95</v>
      </c>
      <c r="J304" t="s">
        <v>262</v>
      </c>
      <c r="K304" t="s">
        <v>217</v>
      </c>
      <c r="L304" t="s">
        <v>217</v>
      </c>
      <c r="M304" t="s">
        <v>212</v>
      </c>
      <c r="N304" t="s">
        <v>213</v>
      </c>
      <c r="O304" t="s">
        <v>28</v>
      </c>
      <c r="P304" t="s">
        <v>28</v>
      </c>
      <c r="Q304" t="s">
        <v>405</v>
      </c>
      <c r="R304" t="s">
        <v>1005</v>
      </c>
      <c r="S304" t="s">
        <v>47</v>
      </c>
      <c r="T304" t="s">
        <v>1006</v>
      </c>
    </row>
    <row r="305" spans="1:20" x14ac:dyDescent="0.25">
      <c r="A305" t="s">
        <v>1003</v>
      </c>
      <c r="B305" t="s">
        <v>23</v>
      </c>
      <c r="C305" t="s">
        <v>37</v>
      </c>
      <c r="D305" t="s">
        <v>881</v>
      </c>
      <c r="E305" t="s">
        <v>1004</v>
      </c>
      <c r="F305" t="s">
        <v>404</v>
      </c>
      <c r="G305" t="s">
        <v>405</v>
      </c>
      <c r="H305" t="s">
        <v>263</v>
      </c>
      <c r="I305" t="s">
        <v>95</v>
      </c>
      <c r="J305" t="s">
        <v>210</v>
      </c>
      <c r="K305" t="s">
        <v>240</v>
      </c>
      <c r="L305" t="s">
        <v>240</v>
      </c>
      <c r="M305" t="s">
        <v>212</v>
      </c>
      <c r="N305" t="s">
        <v>213</v>
      </c>
      <c r="O305" t="s">
        <v>28</v>
      </c>
      <c r="P305" t="s">
        <v>28</v>
      </c>
      <c r="Q305" t="s">
        <v>405</v>
      </c>
      <c r="R305" t="s">
        <v>1005</v>
      </c>
      <c r="S305" t="s">
        <v>47</v>
      </c>
      <c r="T305" t="s">
        <v>1006</v>
      </c>
    </row>
    <row r="306" spans="1:20" x14ac:dyDescent="0.25">
      <c r="A306" t="s">
        <v>1003</v>
      </c>
      <c r="B306" t="s">
        <v>23</v>
      </c>
      <c r="C306" t="s">
        <v>37</v>
      </c>
      <c r="D306" t="s">
        <v>881</v>
      </c>
      <c r="E306" t="s">
        <v>1004</v>
      </c>
      <c r="F306" t="s">
        <v>404</v>
      </c>
      <c r="G306" t="s">
        <v>405</v>
      </c>
      <c r="H306" t="s">
        <v>263</v>
      </c>
      <c r="I306" t="s">
        <v>95</v>
      </c>
      <c r="J306" t="s">
        <v>229</v>
      </c>
      <c r="K306" t="s">
        <v>236</v>
      </c>
      <c r="L306" t="s">
        <v>236</v>
      </c>
      <c r="M306" t="s">
        <v>212</v>
      </c>
      <c r="N306" t="s">
        <v>213</v>
      </c>
      <c r="O306" t="s">
        <v>28</v>
      </c>
      <c r="P306" t="s">
        <v>28</v>
      </c>
      <c r="Q306" t="s">
        <v>405</v>
      </c>
      <c r="R306" t="s">
        <v>1005</v>
      </c>
      <c r="S306" t="s">
        <v>47</v>
      </c>
      <c r="T306" t="s">
        <v>1006</v>
      </c>
    </row>
    <row r="307" spans="1:20" x14ac:dyDescent="0.25">
      <c r="A307" t="s">
        <v>1003</v>
      </c>
      <c r="B307" t="s">
        <v>23</v>
      </c>
      <c r="C307" t="s">
        <v>37</v>
      </c>
      <c r="D307" t="s">
        <v>881</v>
      </c>
      <c r="E307" t="s">
        <v>1004</v>
      </c>
      <c r="F307" t="s">
        <v>404</v>
      </c>
      <c r="G307" t="s">
        <v>405</v>
      </c>
      <c r="H307" t="s">
        <v>263</v>
      </c>
      <c r="I307" t="s">
        <v>95</v>
      </c>
      <c r="J307" t="s">
        <v>230</v>
      </c>
      <c r="K307" t="s">
        <v>239</v>
      </c>
      <c r="L307" t="s">
        <v>239</v>
      </c>
      <c r="M307" t="s">
        <v>212</v>
      </c>
      <c r="N307" t="s">
        <v>213</v>
      </c>
      <c r="O307" t="s">
        <v>28</v>
      </c>
      <c r="P307" t="s">
        <v>28</v>
      </c>
      <c r="Q307" t="s">
        <v>405</v>
      </c>
      <c r="R307" t="s">
        <v>1005</v>
      </c>
      <c r="S307" t="s">
        <v>47</v>
      </c>
      <c r="T307" t="s">
        <v>1006</v>
      </c>
    </row>
    <row r="308" spans="1:20" x14ac:dyDescent="0.25">
      <c r="A308" t="s">
        <v>1003</v>
      </c>
      <c r="B308" t="s">
        <v>23</v>
      </c>
      <c r="C308" t="s">
        <v>37</v>
      </c>
      <c r="D308" t="s">
        <v>881</v>
      </c>
      <c r="E308" t="s">
        <v>1004</v>
      </c>
      <c r="F308" t="s">
        <v>404</v>
      </c>
      <c r="G308" t="s">
        <v>405</v>
      </c>
      <c r="H308" t="s">
        <v>263</v>
      </c>
      <c r="I308" t="s">
        <v>95</v>
      </c>
      <c r="J308" t="s">
        <v>222</v>
      </c>
      <c r="K308" t="s">
        <v>223</v>
      </c>
      <c r="L308" t="s">
        <v>237</v>
      </c>
      <c r="M308" t="s">
        <v>212</v>
      </c>
      <c r="N308" t="s">
        <v>213</v>
      </c>
      <c r="O308" t="s">
        <v>28</v>
      </c>
      <c r="P308" t="s">
        <v>28</v>
      </c>
      <c r="Q308" t="s">
        <v>405</v>
      </c>
      <c r="R308" t="s">
        <v>1005</v>
      </c>
      <c r="S308" t="s">
        <v>47</v>
      </c>
      <c r="T308" t="s">
        <v>1006</v>
      </c>
    </row>
    <row r="309" spans="1:20" x14ac:dyDescent="0.25">
      <c r="A309" t="s">
        <v>1007</v>
      </c>
      <c r="B309" t="s">
        <v>23</v>
      </c>
      <c r="C309" t="s">
        <v>24</v>
      </c>
      <c r="D309" t="s">
        <v>881</v>
      </c>
      <c r="E309" t="s">
        <v>1008</v>
      </c>
      <c r="F309" t="s">
        <v>399</v>
      </c>
      <c r="G309" t="s">
        <v>400</v>
      </c>
      <c r="H309" t="s">
        <v>401</v>
      </c>
      <c r="I309" t="s">
        <v>402</v>
      </c>
      <c r="J309" t="s">
        <v>1009</v>
      </c>
      <c r="K309" t="s">
        <v>219</v>
      </c>
      <c r="L309" t="s">
        <v>219</v>
      </c>
      <c r="M309" t="s">
        <v>212</v>
      </c>
      <c r="N309" t="s">
        <v>213</v>
      </c>
      <c r="O309" t="s">
        <v>43</v>
      </c>
      <c r="P309" t="s">
        <v>28</v>
      </c>
      <c r="Q309" t="s">
        <v>402</v>
      </c>
      <c r="R309" t="s">
        <v>1010</v>
      </c>
      <c r="S309" t="s">
        <v>47</v>
      </c>
      <c r="T309" t="s">
        <v>1011</v>
      </c>
    </row>
    <row r="310" spans="1:20" x14ac:dyDescent="0.25">
      <c r="A310" t="s">
        <v>1007</v>
      </c>
      <c r="B310" t="s">
        <v>23</v>
      </c>
      <c r="C310" t="s">
        <v>24</v>
      </c>
      <c r="D310" t="s">
        <v>881</v>
      </c>
      <c r="E310" t="s">
        <v>1008</v>
      </c>
      <c r="F310" t="s">
        <v>399</v>
      </c>
      <c r="G310" t="s">
        <v>400</v>
      </c>
      <c r="H310" t="s">
        <v>401</v>
      </c>
      <c r="I310" t="s">
        <v>402</v>
      </c>
      <c r="J310" t="s">
        <v>216</v>
      </c>
      <c r="K310" t="s">
        <v>225</v>
      </c>
      <c r="L310" t="s">
        <v>225</v>
      </c>
      <c r="M310" t="s">
        <v>212</v>
      </c>
      <c r="N310" t="s">
        <v>213</v>
      </c>
      <c r="O310" t="s">
        <v>43</v>
      </c>
      <c r="P310" t="s">
        <v>28</v>
      </c>
      <c r="Q310" t="s">
        <v>402</v>
      </c>
      <c r="R310" t="s">
        <v>1010</v>
      </c>
      <c r="S310" t="s">
        <v>47</v>
      </c>
      <c r="T310" t="s">
        <v>1011</v>
      </c>
    </row>
    <row r="311" spans="1:20" x14ac:dyDescent="0.25">
      <c r="A311" t="s">
        <v>1012</v>
      </c>
      <c r="B311" t="s">
        <v>23</v>
      </c>
      <c r="C311" t="s">
        <v>24</v>
      </c>
      <c r="D311" t="s">
        <v>881</v>
      </c>
      <c r="E311" t="s">
        <v>1013</v>
      </c>
      <c r="F311" t="s">
        <v>1014</v>
      </c>
      <c r="G311" t="s">
        <v>1015</v>
      </c>
      <c r="H311" t="s">
        <v>1016</v>
      </c>
      <c r="I311" t="s">
        <v>1017</v>
      </c>
      <c r="J311" t="s">
        <v>1018</v>
      </c>
      <c r="K311" t="s">
        <v>255</v>
      </c>
      <c r="L311" t="s">
        <v>255</v>
      </c>
      <c r="M311" t="s">
        <v>212</v>
      </c>
      <c r="N311" t="s">
        <v>213</v>
      </c>
      <c r="O311" t="s">
        <v>28</v>
      </c>
      <c r="P311" t="s">
        <v>28</v>
      </c>
      <c r="Q311" t="s">
        <v>1015</v>
      </c>
      <c r="R311" t="s">
        <v>1019</v>
      </c>
      <c r="S311" t="s">
        <v>47</v>
      </c>
      <c r="T311" t="s">
        <v>1020</v>
      </c>
    </row>
    <row r="312" spans="1:20" x14ac:dyDescent="0.25">
      <c r="A312" t="s">
        <v>1012</v>
      </c>
      <c r="B312" t="s">
        <v>23</v>
      </c>
      <c r="C312" t="s">
        <v>24</v>
      </c>
      <c r="D312" t="s">
        <v>881</v>
      </c>
      <c r="E312" t="s">
        <v>1013</v>
      </c>
      <c r="F312" t="s">
        <v>1014</v>
      </c>
      <c r="G312" t="s">
        <v>1015</v>
      </c>
      <c r="H312" t="s">
        <v>1016</v>
      </c>
      <c r="I312" t="s">
        <v>1017</v>
      </c>
      <c r="J312" t="s">
        <v>253</v>
      </c>
      <c r="K312" t="s">
        <v>255</v>
      </c>
      <c r="L312" t="s">
        <v>1021</v>
      </c>
      <c r="M312" t="s">
        <v>212</v>
      </c>
      <c r="N312" t="s">
        <v>213</v>
      </c>
      <c r="O312" t="s">
        <v>28</v>
      </c>
      <c r="P312" t="s">
        <v>28</v>
      </c>
      <c r="Q312" t="s">
        <v>1015</v>
      </c>
      <c r="R312" t="s">
        <v>1019</v>
      </c>
      <c r="S312" t="s">
        <v>47</v>
      </c>
      <c r="T312" t="s">
        <v>1020</v>
      </c>
    </row>
    <row r="313" spans="1:20" x14ac:dyDescent="0.25">
      <c r="A313" t="s">
        <v>1022</v>
      </c>
      <c r="B313" t="s">
        <v>23</v>
      </c>
      <c r="C313" t="s">
        <v>24</v>
      </c>
      <c r="D313" t="s">
        <v>881</v>
      </c>
      <c r="E313" t="s">
        <v>1023</v>
      </c>
      <c r="F313" t="s">
        <v>422</v>
      </c>
      <c r="G313" t="s">
        <v>423</v>
      </c>
      <c r="H313" t="s">
        <v>625</v>
      </c>
      <c r="I313" t="s">
        <v>131</v>
      </c>
      <c r="J313" t="s">
        <v>216</v>
      </c>
      <c r="K313" t="s">
        <v>217</v>
      </c>
      <c r="L313" t="s">
        <v>217</v>
      </c>
      <c r="M313" t="s">
        <v>212</v>
      </c>
      <c r="N313" t="s">
        <v>213</v>
      </c>
      <c r="O313" t="s">
        <v>28</v>
      </c>
      <c r="P313" t="s">
        <v>28</v>
      </c>
      <c r="Q313" t="s">
        <v>423</v>
      </c>
      <c r="R313" t="s">
        <v>1024</v>
      </c>
      <c r="S313" t="s">
        <v>33</v>
      </c>
      <c r="T313" t="s">
        <v>1025</v>
      </c>
    </row>
    <row r="314" spans="1:20" x14ac:dyDescent="0.25">
      <c r="A314" t="s">
        <v>1022</v>
      </c>
      <c r="B314" t="s">
        <v>23</v>
      </c>
      <c r="C314" t="s">
        <v>24</v>
      </c>
      <c r="D314" t="s">
        <v>881</v>
      </c>
      <c r="E314" t="s">
        <v>1023</v>
      </c>
      <c r="F314" t="s">
        <v>422</v>
      </c>
      <c r="G314" t="s">
        <v>423</v>
      </c>
      <c r="H314" t="s">
        <v>625</v>
      </c>
      <c r="I314" t="s">
        <v>131</v>
      </c>
      <c r="J314" t="s">
        <v>274</v>
      </c>
      <c r="K314" t="s">
        <v>237</v>
      </c>
      <c r="L314" t="s">
        <v>223</v>
      </c>
      <c r="M314" t="s">
        <v>212</v>
      </c>
      <c r="N314" t="s">
        <v>213</v>
      </c>
      <c r="O314" t="s">
        <v>28</v>
      </c>
      <c r="P314" t="s">
        <v>28</v>
      </c>
      <c r="Q314" t="s">
        <v>423</v>
      </c>
      <c r="R314" t="s">
        <v>1024</v>
      </c>
      <c r="S314" t="s">
        <v>33</v>
      </c>
      <c r="T314" t="s">
        <v>1025</v>
      </c>
    </row>
    <row r="315" spans="1:20" x14ac:dyDescent="0.25">
      <c r="A315" t="s">
        <v>1022</v>
      </c>
      <c r="B315" t="s">
        <v>23</v>
      </c>
      <c r="C315" t="s">
        <v>24</v>
      </c>
      <c r="D315" t="s">
        <v>881</v>
      </c>
      <c r="E315" t="s">
        <v>1023</v>
      </c>
      <c r="F315" t="s">
        <v>422</v>
      </c>
      <c r="G315" t="s">
        <v>423</v>
      </c>
      <c r="H315" t="s">
        <v>625</v>
      </c>
      <c r="I315" t="s">
        <v>131</v>
      </c>
      <c r="J315" t="s">
        <v>224</v>
      </c>
      <c r="K315" t="s">
        <v>223</v>
      </c>
      <c r="L315" t="s">
        <v>223</v>
      </c>
      <c r="M315" t="s">
        <v>212</v>
      </c>
      <c r="N315" t="s">
        <v>213</v>
      </c>
      <c r="O315" t="s">
        <v>28</v>
      </c>
      <c r="P315" t="s">
        <v>28</v>
      </c>
      <c r="Q315" t="s">
        <v>423</v>
      </c>
      <c r="R315" t="s">
        <v>1024</v>
      </c>
      <c r="S315" t="s">
        <v>33</v>
      </c>
      <c r="T315" t="s">
        <v>1025</v>
      </c>
    </row>
    <row r="316" spans="1:20" x14ac:dyDescent="0.25">
      <c r="A316" t="s">
        <v>1026</v>
      </c>
      <c r="B316" t="s">
        <v>23</v>
      </c>
      <c r="C316" t="s">
        <v>24</v>
      </c>
      <c r="D316" t="s">
        <v>881</v>
      </c>
      <c r="E316" t="s">
        <v>688</v>
      </c>
      <c r="F316" t="s">
        <v>528</v>
      </c>
      <c r="G316" t="s">
        <v>529</v>
      </c>
      <c r="H316" t="s">
        <v>530</v>
      </c>
      <c r="I316" t="s">
        <v>531</v>
      </c>
      <c r="J316" t="s">
        <v>253</v>
      </c>
      <c r="K316" t="s">
        <v>223</v>
      </c>
      <c r="L316" t="s">
        <v>1021</v>
      </c>
      <c r="M316" t="s">
        <v>212</v>
      </c>
      <c r="N316" t="s">
        <v>213</v>
      </c>
      <c r="O316" t="s">
        <v>28</v>
      </c>
      <c r="P316" t="s">
        <v>28</v>
      </c>
      <c r="Q316" t="s">
        <v>529</v>
      </c>
      <c r="R316" t="s">
        <v>1027</v>
      </c>
      <c r="S316" t="s">
        <v>47</v>
      </c>
      <c r="T316" t="s">
        <v>1028</v>
      </c>
    </row>
    <row r="317" spans="1:20" x14ac:dyDescent="0.25">
      <c r="A317" t="s">
        <v>1029</v>
      </c>
      <c r="B317" t="s">
        <v>23</v>
      </c>
      <c r="C317" t="s">
        <v>24</v>
      </c>
      <c r="D317" t="s">
        <v>881</v>
      </c>
      <c r="E317" t="s">
        <v>287</v>
      </c>
      <c r="F317" t="s">
        <v>288</v>
      </c>
      <c r="G317" t="s">
        <v>88</v>
      </c>
      <c r="H317" t="s">
        <v>289</v>
      </c>
      <c r="I317" t="s">
        <v>89</v>
      </c>
      <c r="J317" t="s">
        <v>312</v>
      </c>
      <c r="K317" t="s">
        <v>239</v>
      </c>
      <c r="L317" t="s">
        <v>239</v>
      </c>
      <c r="M317" t="s">
        <v>212</v>
      </c>
      <c r="N317" t="s">
        <v>213</v>
      </c>
      <c r="O317" t="s">
        <v>28</v>
      </c>
      <c r="P317" t="s">
        <v>28</v>
      </c>
      <c r="Q317" t="s">
        <v>88</v>
      </c>
      <c r="R317" t="s">
        <v>1030</v>
      </c>
      <c r="S317" t="s">
        <v>33</v>
      </c>
      <c r="T317" t="s">
        <v>1031</v>
      </c>
    </row>
    <row r="318" spans="1:20" x14ac:dyDescent="0.25">
      <c r="A318" t="s">
        <v>1032</v>
      </c>
      <c r="B318" t="s">
        <v>23</v>
      </c>
      <c r="C318" t="s">
        <v>24</v>
      </c>
      <c r="D318" t="s">
        <v>881</v>
      </c>
      <c r="E318" t="s">
        <v>1033</v>
      </c>
      <c r="F318" t="s">
        <v>243</v>
      </c>
      <c r="G318" t="s">
        <v>119</v>
      </c>
      <c r="H318" t="s">
        <v>244</v>
      </c>
      <c r="I318" t="s">
        <v>120</v>
      </c>
      <c r="J318" t="s">
        <v>262</v>
      </c>
      <c r="K318" t="s">
        <v>236</v>
      </c>
      <c r="L318" t="s">
        <v>236</v>
      </c>
      <c r="M318" t="s">
        <v>212</v>
      </c>
      <c r="N318" t="s">
        <v>213</v>
      </c>
      <c r="O318" t="s">
        <v>28</v>
      </c>
      <c r="P318" t="s">
        <v>28</v>
      </c>
      <c r="Q318" t="s">
        <v>119</v>
      </c>
      <c r="R318" t="s">
        <v>1034</v>
      </c>
      <c r="S318" t="s">
        <v>47</v>
      </c>
      <c r="T318" t="s">
        <v>1035</v>
      </c>
    </row>
    <row r="319" spans="1:20" x14ac:dyDescent="0.25">
      <c r="A319" t="s">
        <v>1036</v>
      </c>
      <c r="B319" t="s">
        <v>23</v>
      </c>
      <c r="C319" t="s">
        <v>38</v>
      </c>
      <c r="D319" t="s">
        <v>881</v>
      </c>
      <c r="E319" t="s">
        <v>1037</v>
      </c>
      <c r="F319" t="s">
        <v>358</v>
      </c>
      <c r="G319" t="s">
        <v>82</v>
      </c>
      <c r="H319" t="s">
        <v>359</v>
      </c>
      <c r="I319" t="s">
        <v>83</v>
      </c>
      <c r="J319" t="s">
        <v>224</v>
      </c>
      <c r="K319" t="s">
        <v>223</v>
      </c>
      <c r="L319" t="s">
        <v>223</v>
      </c>
      <c r="M319" t="s">
        <v>212</v>
      </c>
      <c r="N319" t="s">
        <v>213</v>
      </c>
      <c r="O319" t="s">
        <v>28</v>
      </c>
      <c r="P319" t="s">
        <v>28</v>
      </c>
      <c r="Q319" t="s">
        <v>82</v>
      </c>
      <c r="R319" t="s">
        <v>1038</v>
      </c>
      <c r="S319" t="s">
        <v>47</v>
      </c>
      <c r="T319" t="s">
        <v>1039</v>
      </c>
    </row>
    <row r="320" spans="1:20" x14ac:dyDescent="0.25">
      <c r="A320" t="s">
        <v>1036</v>
      </c>
      <c r="B320" t="s">
        <v>23</v>
      </c>
      <c r="C320" t="s">
        <v>38</v>
      </c>
      <c r="D320" t="s">
        <v>881</v>
      </c>
      <c r="E320" t="s">
        <v>1037</v>
      </c>
      <c r="F320" t="s">
        <v>358</v>
      </c>
      <c r="G320" t="s">
        <v>82</v>
      </c>
      <c r="H320" t="s">
        <v>359</v>
      </c>
      <c r="I320" t="s">
        <v>83</v>
      </c>
      <c r="J320" t="s">
        <v>216</v>
      </c>
      <c r="K320" t="s">
        <v>281</v>
      </c>
      <c r="L320" t="s">
        <v>225</v>
      </c>
      <c r="M320" t="s">
        <v>212</v>
      </c>
      <c r="N320" t="s">
        <v>213</v>
      </c>
      <c r="O320" t="s">
        <v>28</v>
      </c>
      <c r="P320" t="s">
        <v>28</v>
      </c>
      <c r="Q320" t="s">
        <v>82</v>
      </c>
      <c r="R320" t="s">
        <v>1038</v>
      </c>
      <c r="S320" t="s">
        <v>47</v>
      </c>
      <c r="T320" t="s">
        <v>1039</v>
      </c>
    </row>
    <row r="321" spans="1:20" x14ac:dyDescent="0.25">
      <c r="A321" t="s">
        <v>1036</v>
      </c>
      <c r="B321" t="s">
        <v>23</v>
      </c>
      <c r="C321" t="s">
        <v>38</v>
      </c>
      <c r="D321" t="s">
        <v>881</v>
      </c>
      <c r="E321" t="s">
        <v>1037</v>
      </c>
      <c r="F321" t="s">
        <v>358</v>
      </c>
      <c r="G321" t="s">
        <v>82</v>
      </c>
      <c r="H321" t="s">
        <v>359</v>
      </c>
      <c r="I321" t="s">
        <v>83</v>
      </c>
      <c r="J321" t="s">
        <v>222</v>
      </c>
      <c r="K321" t="s">
        <v>237</v>
      </c>
      <c r="L321" t="s">
        <v>237</v>
      </c>
      <c r="M321" t="s">
        <v>212</v>
      </c>
      <c r="N321" t="s">
        <v>213</v>
      </c>
      <c r="O321" t="s">
        <v>28</v>
      </c>
      <c r="P321" t="s">
        <v>28</v>
      </c>
      <c r="Q321" t="s">
        <v>82</v>
      </c>
      <c r="R321" t="s">
        <v>1038</v>
      </c>
      <c r="S321" t="s">
        <v>47</v>
      </c>
      <c r="T321" t="s">
        <v>1039</v>
      </c>
    </row>
    <row r="322" spans="1:20" x14ac:dyDescent="0.25">
      <c r="A322" t="s">
        <v>1036</v>
      </c>
      <c r="B322" t="s">
        <v>23</v>
      </c>
      <c r="C322" t="s">
        <v>38</v>
      </c>
      <c r="D322" t="s">
        <v>881</v>
      </c>
      <c r="E322" t="s">
        <v>1037</v>
      </c>
      <c r="F322" t="s">
        <v>358</v>
      </c>
      <c r="G322" t="s">
        <v>82</v>
      </c>
      <c r="H322" t="s">
        <v>359</v>
      </c>
      <c r="I322" t="s">
        <v>83</v>
      </c>
      <c r="J322" t="s">
        <v>230</v>
      </c>
      <c r="K322" t="s">
        <v>259</v>
      </c>
      <c r="L322" t="s">
        <v>259</v>
      </c>
      <c r="M322" t="s">
        <v>212</v>
      </c>
      <c r="N322" t="s">
        <v>213</v>
      </c>
      <c r="O322" t="s">
        <v>28</v>
      </c>
      <c r="P322" t="s">
        <v>28</v>
      </c>
      <c r="Q322" t="s">
        <v>82</v>
      </c>
      <c r="R322" t="s">
        <v>1038</v>
      </c>
      <c r="S322" t="s">
        <v>47</v>
      </c>
      <c r="T322" t="s">
        <v>1039</v>
      </c>
    </row>
    <row r="323" spans="1:20" x14ac:dyDescent="0.25">
      <c r="A323" t="s">
        <v>1040</v>
      </c>
      <c r="B323" t="s">
        <v>23</v>
      </c>
      <c r="C323" t="s">
        <v>24</v>
      </c>
      <c r="D323" t="s">
        <v>881</v>
      </c>
      <c r="E323" t="s">
        <v>1041</v>
      </c>
      <c r="F323" t="s">
        <v>494</v>
      </c>
      <c r="G323" t="s">
        <v>495</v>
      </c>
      <c r="H323" t="s">
        <v>492</v>
      </c>
      <c r="I323" t="s">
        <v>493</v>
      </c>
      <c r="J323" t="s">
        <v>222</v>
      </c>
      <c r="K323" t="s">
        <v>225</v>
      </c>
      <c r="L323" t="s">
        <v>237</v>
      </c>
      <c r="M323" t="s">
        <v>212</v>
      </c>
      <c r="N323" t="s">
        <v>213</v>
      </c>
      <c r="O323" t="s">
        <v>28</v>
      </c>
      <c r="P323" t="s">
        <v>28</v>
      </c>
      <c r="Q323" t="s">
        <v>493</v>
      </c>
      <c r="R323" t="s">
        <v>1042</v>
      </c>
      <c r="S323" t="s">
        <v>33</v>
      </c>
      <c r="T323" t="s">
        <v>1043</v>
      </c>
    </row>
    <row r="324" spans="1:20" x14ac:dyDescent="0.25">
      <c r="A324" t="s">
        <v>1040</v>
      </c>
      <c r="B324" t="s">
        <v>23</v>
      </c>
      <c r="C324" t="s">
        <v>24</v>
      </c>
      <c r="D324" t="s">
        <v>881</v>
      </c>
      <c r="E324" t="s">
        <v>1041</v>
      </c>
      <c r="F324" t="s">
        <v>494</v>
      </c>
      <c r="G324" t="s">
        <v>495</v>
      </c>
      <c r="H324" t="s">
        <v>492</v>
      </c>
      <c r="I324" t="s">
        <v>493</v>
      </c>
      <c r="J324" t="s">
        <v>224</v>
      </c>
      <c r="K324" t="s">
        <v>237</v>
      </c>
      <c r="L324" t="s">
        <v>223</v>
      </c>
      <c r="M324" t="s">
        <v>212</v>
      </c>
      <c r="N324" t="s">
        <v>213</v>
      </c>
      <c r="O324" t="s">
        <v>28</v>
      </c>
      <c r="P324" t="s">
        <v>28</v>
      </c>
      <c r="Q324" t="s">
        <v>493</v>
      </c>
      <c r="R324" t="s">
        <v>1042</v>
      </c>
      <c r="S324" t="s">
        <v>33</v>
      </c>
      <c r="T324" t="s">
        <v>1043</v>
      </c>
    </row>
    <row r="325" spans="1:20" x14ac:dyDescent="0.25">
      <c r="A325" t="s">
        <v>1044</v>
      </c>
      <c r="B325" t="s">
        <v>23</v>
      </c>
      <c r="C325" t="s">
        <v>38</v>
      </c>
      <c r="D325" t="s">
        <v>881</v>
      </c>
      <c r="E325" t="s">
        <v>336</v>
      </c>
      <c r="F325" t="s">
        <v>337</v>
      </c>
      <c r="G325" t="s">
        <v>136</v>
      </c>
      <c r="H325" t="s">
        <v>338</v>
      </c>
      <c r="I325" t="s">
        <v>137</v>
      </c>
      <c r="J325" t="s">
        <v>216</v>
      </c>
      <c r="K325" t="s">
        <v>217</v>
      </c>
      <c r="L325" t="s">
        <v>217</v>
      </c>
      <c r="M325" t="s">
        <v>212</v>
      </c>
      <c r="N325" t="s">
        <v>213</v>
      </c>
      <c r="O325" t="s">
        <v>43</v>
      </c>
      <c r="P325" t="s">
        <v>28</v>
      </c>
      <c r="Q325" t="s">
        <v>137</v>
      </c>
      <c r="R325" t="s">
        <v>1045</v>
      </c>
      <c r="S325" t="s">
        <v>47</v>
      </c>
      <c r="T325" t="s">
        <v>1046</v>
      </c>
    </row>
    <row r="326" spans="1:20" x14ac:dyDescent="0.25">
      <c r="A326" t="s">
        <v>1047</v>
      </c>
      <c r="B326" t="s">
        <v>23</v>
      </c>
      <c r="C326" t="s">
        <v>24</v>
      </c>
      <c r="D326" t="s">
        <v>881</v>
      </c>
      <c r="E326" t="s">
        <v>351</v>
      </c>
      <c r="F326" t="s">
        <v>352</v>
      </c>
      <c r="G326" t="s">
        <v>80</v>
      </c>
      <c r="H326" t="s">
        <v>353</v>
      </c>
      <c r="I326" t="s">
        <v>81</v>
      </c>
      <c r="J326" t="s">
        <v>222</v>
      </c>
      <c r="K326" t="s">
        <v>237</v>
      </c>
      <c r="L326" t="s">
        <v>237</v>
      </c>
      <c r="M326" t="s">
        <v>212</v>
      </c>
      <c r="N326" t="s">
        <v>213</v>
      </c>
      <c r="O326" t="s">
        <v>28</v>
      </c>
      <c r="P326" t="s">
        <v>28</v>
      </c>
      <c r="Q326" t="s">
        <v>80</v>
      </c>
      <c r="R326" t="s">
        <v>1048</v>
      </c>
      <c r="S326" t="s">
        <v>47</v>
      </c>
      <c r="T326" t="s">
        <v>1049</v>
      </c>
    </row>
    <row r="327" spans="1:20" x14ac:dyDescent="0.25">
      <c r="A327" t="s">
        <v>1047</v>
      </c>
      <c r="B327" t="s">
        <v>23</v>
      </c>
      <c r="C327" t="s">
        <v>24</v>
      </c>
      <c r="D327" t="s">
        <v>881</v>
      </c>
      <c r="E327" t="s">
        <v>351</v>
      </c>
      <c r="F327" t="s">
        <v>352</v>
      </c>
      <c r="G327" t="s">
        <v>80</v>
      </c>
      <c r="H327" t="s">
        <v>353</v>
      </c>
      <c r="I327" t="s">
        <v>81</v>
      </c>
      <c r="J327" t="s">
        <v>229</v>
      </c>
      <c r="K327" t="s">
        <v>225</v>
      </c>
      <c r="L327" t="s">
        <v>225</v>
      </c>
      <c r="M327" t="s">
        <v>212</v>
      </c>
      <c r="N327" t="s">
        <v>213</v>
      </c>
      <c r="O327" t="s">
        <v>28</v>
      </c>
      <c r="P327" t="s">
        <v>28</v>
      </c>
      <c r="Q327" t="s">
        <v>80</v>
      </c>
      <c r="R327" t="s">
        <v>1048</v>
      </c>
      <c r="S327" t="s">
        <v>47</v>
      </c>
      <c r="T327" t="s">
        <v>1049</v>
      </c>
    </row>
    <row r="328" spans="1:20" x14ac:dyDescent="0.25">
      <c r="A328" t="s">
        <v>1050</v>
      </c>
      <c r="B328" t="s">
        <v>23</v>
      </c>
      <c r="C328" t="s">
        <v>24</v>
      </c>
      <c r="D328" t="s">
        <v>881</v>
      </c>
      <c r="E328" t="s">
        <v>606</v>
      </c>
      <c r="F328" t="s">
        <v>607</v>
      </c>
      <c r="G328" t="s">
        <v>608</v>
      </c>
      <c r="H328" t="s">
        <v>609</v>
      </c>
      <c r="I328" t="s">
        <v>610</v>
      </c>
      <c r="J328" t="s">
        <v>222</v>
      </c>
      <c r="K328" t="s">
        <v>237</v>
      </c>
      <c r="L328" t="s">
        <v>237</v>
      </c>
      <c r="M328" t="s">
        <v>212</v>
      </c>
      <c r="N328" t="s">
        <v>213</v>
      </c>
      <c r="O328" t="s">
        <v>28</v>
      </c>
      <c r="P328" t="s">
        <v>28</v>
      </c>
      <c r="Q328" t="s">
        <v>610</v>
      </c>
      <c r="R328" t="s">
        <v>1051</v>
      </c>
      <c r="S328" t="s">
        <v>33</v>
      </c>
      <c r="T328" t="s">
        <v>1052</v>
      </c>
    </row>
    <row r="329" spans="1:20" x14ac:dyDescent="0.25">
      <c r="A329" t="s">
        <v>1050</v>
      </c>
      <c r="B329" t="s">
        <v>23</v>
      </c>
      <c r="C329" t="s">
        <v>24</v>
      </c>
      <c r="D329" t="s">
        <v>881</v>
      </c>
      <c r="E329" t="s">
        <v>606</v>
      </c>
      <c r="F329" t="s">
        <v>607</v>
      </c>
      <c r="G329" t="s">
        <v>608</v>
      </c>
      <c r="H329" t="s">
        <v>609</v>
      </c>
      <c r="I329" t="s">
        <v>610</v>
      </c>
      <c r="J329" t="s">
        <v>224</v>
      </c>
      <c r="K329" t="s">
        <v>223</v>
      </c>
      <c r="L329" t="s">
        <v>223</v>
      </c>
      <c r="M329" t="s">
        <v>212</v>
      </c>
      <c r="N329" t="s">
        <v>213</v>
      </c>
      <c r="O329" t="s">
        <v>28</v>
      </c>
      <c r="P329" t="s">
        <v>28</v>
      </c>
      <c r="Q329" t="s">
        <v>610</v>
      </c>
      <c r="R329" t="s">
        <v>1051</v>
      </c>
      <c r="S329" t="s">
        <v>33</v>
      </c>
      <c r="T329" t="s">
        <v>1052</v>
      </c>
    </row>
    <row r="330" spans="1:20" x14ac:dyDescent="0.25">
      <c r="A330" t="s">
        <v>1053</v>
      </c>
      <c r="B330" t="s">
        <v>23</v>
      </c>
      <c r="C330" t="s">
        <v>38</v>
      </c>
      <c r="D330" t="s">
        <v>881</v>
      </c>
      <c r="E330" t="s">
        <v>1054</v>
      </c>
      <c r="F330" t="s">
        <v>365</v>
      </c>
      <c r="G330" t="s">
        <v>65</v>
      </c>
      <c r="H330" t="s">
        <v>366</v>
      </c>
      <c r="I330" t="s">
        <v>66</v>
      </c>
      <c r="J330" t="s">
        <v>697</v>
      </c>
      <c r="K330" t="s">
        <v>285</v>
      </c>
      <c r="L330" t="s">
        <v>285</v>
      </c>
      <c r="M330" t="s">
        <v>212</v>
      </c>
      <c r="N330" t="s">
        <v>213</v>
      </c>
      <c r="O330" t="s">
        <v>28</v>
      </c>
      <c r="P330" t="s">
        <v>28</v>
      </c>
      <c r="Q330" t="s">
        <v>65</v>
      </c>
      <c r="R330" t="s">
        <v>1055</v>
      </c>
      <c r="S330" t="s">
        <v>47</v>
      </c>
      <c r="T330" t="s">
        <v>1056</v>
      </c>
    </row>
    <row r="331" spans="1:20" x14ac:dyDescent="0.25">
      <c r="A331" t="s">
        <v>1053</v>
      </c>
      <c r="B331" t="s">
        <v>23</v>
      </c>
      <c r="C331" t="s">
        <v>38</v>
      </c>
      <c r="D331" t="s">
        <v>881</v>
      </c>
      <c r="E331" t="s">
        <v>1054</v>
      </c>
      <c r="F331" t="s">
        <v>365</v>
      </c>
      <c r="G331" t="s">
        <v>65</v>
      </c>
      <c r="H331" t="s">
        <v>366</v>
      </c>
      <c r="I331" t="s">
        <v>66</v>
      </c>
      <c r="J331" t="s">
        <v>210</v>
      </c>
      <c r="K331" t="s">
        <v>240</v>
      </c>
      <c r="L331" t="s">
        <v>240</v>
      </c>
      <c r="M331" t="s">
        <v>212</v>
      </c>
      <c r="N331" t="s">
        <v>213</v>
      </c>
      <c r="O331" t="s">
        <v>28</v>
      </c>
      <c r="P331" t="s">
        <v>28</v>
      </c>
      <c r="Q331" t="s">
        <v>65</v>
      </c>
      <c r="R331" t="s">
        <v>1055</v>
      </c>
      <c r="S331" t="s">
        <v>47</v>
      </c>
      <c r="T331" t="s">
        <v>1056</v>
      </c>
    </row>
    <row r="332" spans="1:20" x14ac:dyDescent="0.25">
      <c r="A332" t="s">
        <v>1057</v>
      </c>
      <c r="B332" t="s">
        <v>23</v>
      </c>
      <c r="C332" t="s">
        <v>24</v>
      </c>
      <c r="D332" t="s">
        <v>881</v>
      </c>
      <c r="E332" t="s">
        <v>53</v>
      </c>
      <c r="F332" t="s">
        <v>369</v>
      </c>
      <c r="G332" t="s">
        <v>54</v>
      </c>
      <c r="H332" t="s">
        <v>370</v>
      </c>
      <c r="I332" t="s">
        <v>55</v>
      </c>
      <c r="J332" t="s">
        <v>216</v>
      </c>
      <c r="K332" t="s">
        <v>217</v>
      </c>
      <c r="L332" t="s">
        <v>225</v>
      </c>
      <c r="M332" t="s">
        <v>212</v>
      </c>
      <c r="N332" t="s">
        <v>213</v>
      </c>
      <c r="O332" t="s">
        <v>28</v>
      </c>
      <c r="P332" t="s">
        <v>28</v>
      </c>
      <c r="Q332" t="s">
        <v>54</v>
      </c>
      <c r="R332" t="s">
        <v>1058</v>
      </c>
      <c r="S332" t="s">
        <v>33</v>
      </c>
      <c r="T332" t="s">
        <v>1059</v>
      </c>
    </row>
    <row r="333" spans="1:20" x14ac:dyDescent="0.25">
      <c r="A333" t="s">
        <v>1057</v>
      </c>
      <c r="B333" t="s">
        <v>23</v>
      </c>
      <c r="C333" t="s">
        <v>24</v>
      </c>
      <c r="D333" t="s">
        <v>881</v>
      </c>
      <c r="E333" t="s">
        <v>53</v>
      </c>
      <c r="F333" t="s">
        <v>369</v>
      </c>
      <c r="G333" t="s">
        <v>54</v>
      </c>
      <c r="H333" t="s">
        <v>370</v>
      </c>
      <c r="I333" t="s">
        <v>55</v>
      </c>
      <c r="J333" t="s">
        <v>274</v>
      </c>
      <c r="K333" t="s">
        <v>223</v>
      </c>
      <c r="L333" t="s">
        <v>223</v>
      </c>
      <c r="M333" t="s">
        <v>212</v>
      </c>
      <c r="N333" t="s">
        <v>213</v>
      </c>
      <c r="O333" t="s">
        <v>28</v>
      </c>
      <c r="P333" t="s">
        <v>28</v>
      </c>
      <c r="Q333" t="s">
        <v>54</v>
      </c>
      <c r="R333" t="s">
        <v>1058</v>
      </c>
      <c r="S333" t="s">
        <v>33</v>
      </c>
      <c r="T333" t="s">
        <v>1059</v>
      </c>
    </row>
    <row r="334" spans="1:20" x14ac:dyDescent="0.25">
      <c r="A334" t="s">
        <v>1057</v>
      </c>
      <c r="B334" t="s">
        <v>23</v>
      </c>
      <c r="C334" t="s">
        <v>24</v>
      </c>
      <c r="D334" t="s">
        <v>881</v>
      </c>
      <c r="E334" t="s">
        <v>53</v>
      </c>
      <c r="F334" t="s">
        <v>369</v>
      </c>
      <c r="G334" t="s">
        <v>54</v>
      </c>
      <c r="H334" t="s">
        <v>370</v>
      </c>
      <c r="I334" t="s">
        <v>55</v>
      </c>
      <c r="J334" t="s">
        <v>224</v>
      </c>
      <c r="K334" t="s">
        <v>223</v>
      </c>
      <c r="L334" t="s">
        <v>223</v>
      </c>
      <c r="M334" t="s">
        <v>212</v>
      </c>
      <c r="N334" t="s">
        <v>213</v>
      </c>
      <c r="O334" t="s">
        <v>28</v>
      </c>
      <c r="P334" t="s">
        <v>28</v>
      </c>
      <c r="Q334" t="s">
        <v>54</v>
      </c>
      <c r="R334" t="s">
        <v>1058</v>
      </c>
      <c r="S334" t="s">
        <v>33</v>
      </c>
      <c r="T334" t="s">
        <v>1059</v>
      </c>
    </row>
    <row r="335" spans="1:20" x14ac:dyDescent="0.25">
      <c r="A335" t="s">
        <v>1060</v>
      </c>
      <c r="B335" t="s">
        <v>23</v>
      </c>
      <c r="C335" t="s">
        <v>24</v>
      </c>
      <c r="D335" t="s">
        <v>881</v>
      </c>
      <c r="E335" t="s">
        <v>461</v>
      </c>
      <c r="F335" t="s">
        <v>462</v>
      </c>
      <c r="G335" t="s">
        <v>463</v>
      </c>
      <c r="H335" t="s">
        <v>464</v>
      </c>
      <c r="I335" t="s">
        <v>465</v>
      </c>
      <c r="J335" t="s">
        <v>230</v>
      </c>
      <c r="K335" t="s">
        <v>231</v>
      </c>
      <c r="L335" t="s">
        <v>285</v>
      </c>
      <c r="M335" t="s">
        <v>212</v>
      </c>
      <c r="N335" t="s">
        <v>213</v>
      </c>
      <c r="O335" t="s">
        <v>28</v>
      </c>
      <c r="P335" t="s">
        <v>28</v>
      </c>
      <c r="Q335" t="s">
        <v>463</v>
      </c>
      <c r="R335" t="s">
        <v>1061</v>
      </c>
      <c r="S335" t="s">
        <v>47</v>
      </c>
      <c r="T335" t="s">
        <v>1062</v>
      </c>
    </row>
    <row r="336" spans="1:20" x14ac:dyDescent="0.25">
      <c r="A336" t="s">
        <v>1060</v>
      </c>
      <c r="B336" t="s">
        <v>23</v>
      </c>
      <c r="C336" t="s">
        <v>24</v>
      </c>
      <c r="D336" t="s">
        <v>881</v>
      </c>
      <c r="E336" t="s">
        <v>461</v>
      </c>
      <c r="F336" t="s">
        <v>462</v>
      </c>
      <c r="G336" t="s">
        <v>463</v>
      </c>
      <c r="H336" t="s">
        <v>464</v>
      </c>
      <c r="I336" t="s">
        <v>465</v>
      </c>
      <c r="J336" t="s">
        <v>216</v>
      </c>
      <c r="K336" t="s">
        <v>217</v>
      </c>
      <c r="L336" t="s">
        <v>217</v>
      </c>
      <c r="M336" t="s">
        <v>212</v>
      </c>
      <c r="N336" t="s">
        <v>213</v>
      </c>
      <c r="O336" t="s">
        <v>28</v>
      </c>
      <c r="P336" t="s">
        <v>28</v>
      </c>
      <c r="Q336" t="s">
        <v>463</v>
      </c>
      <c r="R336" t="s">
        <v>1061</v>
      </c>
      <c r="S336" t="s">
        <v>47</v>
      </c>
      <c r="T336" t="s">
        <v>1062</v>
      </c>
    </row>
    <row r="337" spans="1:20" x14ac:dyDescent="0.25">
      <c r="A337" t="s">
        <v>1060</v>
      </c>
      <c r="B337" t="s">
        <v>23</v>
      </c>
      <c r="C337" t="s">
        <v>24</v>
      </c>
      <c r="D337" t="s">
        <v>881</v>
      </c>
      <c r="E337" t="s">
        <v>461</v>
      </c>
      <c r="F337" t="s">
        <v>462</v>
      </c>
      <c r="G337" t="s">
        <v>463</v>
      </c>
      <c r="H337" t="s">
        <v>464</v>
      </c>
      <c r="I337" t="s">
        <v>465</v>
      </c>
      <c r="J337" t="s">
        <v>222</v>
      </c>
      <c r="K337" t="s">
        <v>237</v>
      </c>
      <c r="L337" t="s">
        <v>237</v>
      </c>
      <c r="M337" t="s">
        <v>212</v>
      </c>
      <c r="N337" t="s">
        <v>213</v>
      </c>
      <c r="O337" t="s">
        <v>28</v>
      </c>
      <c r="P337" t="s">
        <v>28</v>
      </c>
      <c r="Q337" t="s">
        <v>463</v>
      </c>
      <c r="R337" t="s">
        <v>1061</v>
      </c>
      <c r="S337" t="s">
        <v>47</v>
      </c>
      <c r="T337" t="s">
        <v>1062</v>
      </c>
    </row>
    <row r="338" spans="1:20" x14ac:dyDescent="0.25">
      <c r="A338" t="s">
        <v>1060</v>
      </c>
      <c r="B338" t="s">
        <v>23</v>
      </c>
      <c r="C338" t="s">
        <v>24</v>
      </c>
      <c r="D338" t="s">
        <v>881</v>
      </c>
      <c r="E338" t="s">
        <v>461</v>
      </c>
      <c r="F338" t="s">
        <v>462</v>
      </c>
      <c r="G338" t="s">
        <v>463</v>
      </c>
      <c r="H338" t="s">
        <v>464</v>
      </c>
      <c r="I338" t="s">
        <v>465</v>
      </c>
      <c r="J338" t="s">
        <v>403</v>
      </c>
      <c r="K338" t="s">
        <v>285</v>
      </c>
      <c r="L338" t="s">
        <v>221</v>
      </c>
      <c r="M338" t="s">
        <v>212</v>
      </c>
      <c r="N338" t="s">
        <v>213</v>
      </c>
      <c r="O338" t="s">
        <v>28</v>
      </c>
      <c r="P338" t="s">
        <v>28</v>
      </c>
      <c r="Q338" t="s">
        <v>463</v>
      </c>
      <c r="R338" t="s">
        <v>1061</v>
      </c>
      <c r="S338" t="s">
        <v>47</v>
      </c>
      <c r="T338" t="s">
        <v>1062</v>
      </c>
    </row>
    <row r="339" spans="1:20" x14ac:dyDescent="0.25">
      <c r="A339" t="s">
        <v>1060</v>
      </c>
      <c r="B339" t="s">
        <v>23</v>
      </c>
      <c r="C339" t="s">
        <v>24</v>
      </c>
      <c r="D339" t="s">
        <v>881</v>
      </c>
      <c r="E339" t="s">
        <v>461</v>
      </c>
      <c r="F339" t="s">
        <v>462</v>
      </c>
      <c r="G339" t="s">
        <v>463</v>
      </c>
      <c r="H339" t="s">
        <v>464</v>
      </c>
      <c r="I339" t="s">
        <v>465</v>
      </c>
      <c r="J339" t="s">
        <v>431</v>
      </c>
      <c r="K339" t="s">
        <v>447</v>
      </c>
      <c r="L339" t="s">
        <v>237</v>
      </c>
      <c r="M339" t="s">
        <v>212</v>
      </c>
      <c r="N339" t="s">
        <v>213</v>
      </c>
      <c r="O339" t="s">
        <v>28</v>
      </c>
      <c r="P339" t="s">
        <v>28</v>
      </c>
      <c r="Q339" t="s">
        <v>463</v>
      </c>
      <c r="R339" t="s">
        <v>1061</v>
      </c>
      <c r="S339" t="s">
        <v>47</v>
      </c>
      <c r="T339" t="s">
        <v>1062</v>
      </c>
    </row>
    <row r="340" spans="1:20" x14ac:dyDescent="0.25">
      <c r="A340" t="s">
        <v>1063</v>
      </c>
      <c r="B340" t="s">
        <v>23</v>
      </c>
      <c r="C340" t="s">
        <v>213</v>
      </c>
      <c r="D340" t="s">
        <v>479</v>
      </c>
      <c r="E340" t="s">
        <v>126</v>
      </c>
      <c r="F340" t="s">
        <v>214</v>
      </c>
      <c r="G340" t="s">
        <v>127</v>
      </c>
      <c r="H340" t="s">
        <v>215</v>
      </c>
      <c r="I340" t="s">
        <v>128</v>
      </c>
      <c r="J340" t="s">
        <v>229</v>
      </c>
      <c r="K340" t="s">
        <v>225</v>
      </c>
      <c r="L340" t="s">
        <v>225</v>
      </c>
      <c r="M340" t="s">
        <v>212</v>
      </c>
      <c r="N340" t="s">
        <v>213</v>
      </c>
      <c r="O340" t="s">
        <v>28</v>
      </c>
      <c r="P340" t="s">
        <v>28</v>
      </c>
      <c r="Q340" t="s">
        <v>695</v>
      </c>
      <c r="R340" t="s">
        <v>1064</v>
      </c>
      <c r="S340" t="s">
        <v>47</v>
      </c>
      <c r="T340" t="s">
        <v>1065</v>
      </c>
    </row>
    <row r="341" spans="1:20" x14ac:dyDescent="0.25">
      <c r="A341" t="s">
        <v>1063</v>
      </c>
      <c r="B341" t="s">
        <v>23</v>
      </c>
      <c r="C341" t="s">
        <v>213</v>
      </c>
      <c r="D341" t="s">
        <v>479</v>
      </c>
      <c r="E341" t="s">
        <v>126</v>
      </c>
      <c r="F341" t="s">
        <v>214</v>
      </c>
      <c r="G341" t="s">
        <v>127</v>
      </c>
      <c r="H341" t="s">
        <v>215</v>
      </c>
      <c r="I341" t="s">
        <v>128</v>
      </c>
      <c r="J341" t="s">
        <v>262</v>
      </c>
      <c r="K341" t="s">
        <v>225</v>
      </c>
      <c r="L341" t="s">
        <v>225</v>
      </c>
      <c r="M341" t="s">
        <v>212</v>
      </c>
      <c r="N341" t="s">
        <v>213</v>
      </c>
      <c r="O341" t="s">
        <v>28</v>
      </c>
      <c r="P341" t="s">
        <v>28</v>
      </c>
      <c r="Q341" t="s">
        <v>695</v>
      </c>
      <c r="R341" t="s">
        <v>1064</v>
      </c>
      <c r="S341" t="s">
        <v>47</v>
      </c>
      <c r="T341" t="s">
        <v>1065</v>
      </c>
    </row>
    <row r="342" spans="1:20" x14ac:dyDescent="0.25">
      <c r="A342" t="s">
        <v>1063</v>
      </c>
      <c r="B342" t="s">
        <v>23</v>
      </c>
      <c r="C342" t="s">
        <v>213</v>
      </c>
      <c r="D342" t="s">
        <v>479</v>
      </c>
      <c r="E342" t="s">
        <v>126</v>
      </c>
      <c r="F342" t="s">
        <v>214</v>
      </c>
      <c r="G342" t="s">
        <v>127</v>
      </c>
      <c r="H342" t="s">
        <v>215</v>
      </c>
      <c r="I342" t="s">
        <v>128</v>
      </c>
      <c r="J342" t="s">
        <v>210</v>
      </c>
      <c r="K342" t="s">
        <v>240</v>
      </c>
      <c r="L342" t="s">
        <v>240</v>
      </c>
      <c r="M342" t="s">
        <v>212</v>
      </c>
      <c r="N342" t="s">
        <v>213</v>
      </c>
      <c r="O342" t="s">
        <v>28</v>
      </c>
      <c r="P342" t="s">
        <v>28</v>
      </c>
      <c r="Q342" t="s">
        <v>695</v>
      </c>
      <c r="R342" t="s">
        <v>1064</v>
      </c>
      <c r="S342" t="s">
        <v>47</v>
      </c>
      <c r="T342" t="s">
        <v>1065</v>
      </c>
    </row>
    <row r="343" spans="1:20" x14ac:dyDescent="0.25">
      <c r="A343" t="s">
        <v>1066</v>
      </c>
      <c r="B343" t="s">
        <v>23</v>
      </c>
      <c r="C343" t="s">
        <v>24</v>
      </c>
      <c r="D343" t="s">
        <v>479</v>
      </c>
      <c r="E343" t="s">
        <v>412</v>
      </c>
      <c r="F343" t="s">
        <v>413</v>
      </c>
      <c r="G343" t="s">
        <v>414</v>
      </c>
      <c r="H343" t="s">
        <v>415</v>
      </c>
      <c r="I343" t="s">
        <v>416</v>
      </c>
      <c r="J343" t="s">
        <v>229</v>
      </c>
      <c r="K343" t="s">
        <v>302</v>
      </c>
      <c r="L343" t="s">
        <v>302</v>
      </c>
      <c r="M343" t="s">
        <v>212</v>
      </c>
      <c r="N343" t="s">
        <v>213</v>
      </c>
      <c r="O343" t="s">
        <v>28</v>
      </c>
      <c r="P343" t="s">
        <v>28</v>
      </c>
      <c r="Q343" t="s">
        <v>414</v>
      </c>
      <c r="R343" t="s">
        <v>1067</v>
      </c>
      <c r="S343" t="s">
        <v>47</v>
      </c>
      <c r="T343" t="s">
        <v>1068</v>
      </c>
    </row>
    <row r="344" spans="1:20" x14ac:dyDescent="0.25">
      <c r="A344" t="s">
        <v>1066</v>
      </c>
      <c r="B344" t="s">
        <v>23</v>
      </c>
      <c r="C344" t="s">
        <v>24</v>
      </c>
      <c r="D344" t="s">
        <v>479</v>
      </c>
      <c r="E344" t="s">
        <v>412</v>
      </c>
      <c r="F344" t="s">
        <v>413</v>
      </c>
      <c r="G344" t="s">
        <v>414</v>
      </c>
      <c r="H344" t="s">
        <v>415</v>
      </c>
      <c r="I344" t="s">
        <v>416</v>
      </c>
      <c r="J344" t="s">
        <v>210</v>
      </c>
      <c r="K344" t="s">
        <v>1069</v>
      </c>
      <c r="L344" t="s">
        <v>1069</v>
      </c>
      <c r="M344" t="s">
        <v>212</v>
      </c>
      <c r="N344" t="s">
        <v>213</v>
      </c>
      <c r="O344" t="s">
        <v>28</v>
      </c>
      <c r="P344" t="s">
        <v>28</v>
      </c>
      <c r="Q344" t="s">
        <v>414</v>
      </c>
      <c r="R344" t="s">
        <v>1067</v>
      </c>
      <c r="S344" t="s">
        <v>47</v>
      </c>
      <c r="T344" t="s">
        <v>1068</v>
      </c>
    </row>
    <row r="345" spans="1:20" x14ac:dyDescent="0.25">
      <c r="A345" t="s">
        <v>1070</v>
      </c>
      <c r="B345" t="s">
        <v>23</v>
      </c>
      <c r="C345" t="s">
        <v>24</v>
      </c>
      <c r="D345" t="s">
        <v>479</v>
      </c>
      <c r="E345" t="s">
        <v>410</v>
      </c>
      <c r="F345" t="s">
        <v>360</v>
      </c>
      <c r="G345" t="s">
        <v>92</v>
      </c>
      <c r="H345" t="s">
        <v>361</v>
      </c>
      <c r="I345" t="s">
        <v>93</v>
      </c>
      <c r="J345" t="s">
        <v>230</v>
      </c>
      <c r="K345" t="s">
        <v>239</v>
      </c>
      <c r="L345" t="s">
        <v>239</v>
      </c>
      <c r="M345" t="s">
        <v>212</v>
      </c>
      <c r="N345" t="s">
        <v>213</v>
      </c>
      <c r="O345" t="s">
        <v>28</v>
      </c>
      <c r="P345" t="s">
        <v>28</v>
      </c>
      <c r="Q345" t="s">
        <v>93</v>
      </c>
      <c r="R345" t="s">
        <v>1071</v>
      </c>
      <c r="S345" t="s">
        <v>47</v>
      </c>
      <c r="T345" t="s">
        <v>1072</v>
      </c>
    </row>
    <row r="346" spans="1:20" x14ac:dyDescent="0.25">
      <c r="A346" t="s">
        <v>1073</v>
      </c>
      <c r="B346" t="s">
        <v>23</v>
      </c>
      <c r="C346" t="s">
        <v>38</v>
      </c>
      <c r="D346" t="s">
        <v>479</v>
      </c>
      <c r="E346" t="s">
        <v>420</v>
      </c>
      <c r="F346" t="s">
        <v>335</v>
      </c>
      <c r="G346" t="s">
        <v>139</v>
      </c>
      <c r="H346" t="s">
        <v>1074</v>
      </c>
      <c r="I346" t="s">
        <v>1075</v>
      </c>
      <c r="J346" t="s">
        <v>224</v>
      </c>
      <c r="K346" t="s">
        <v>237</v>
      </c>
      <c r="L346" t="s">
        <v>223</v>
      </c>
      <c r="M346" t="s">
        <v>212</v>
      </c>
      <c r="N346" t="s">
        <v>213</v>
      </c>
      <c r="O346" t="s">
        <v>28</v>
      </c>
      <c r="P346" t="s">
        <v>28</v>
      </c>
      <c r="Q346" t="s">
        <v>139</v>
      </c>
      <c r="R346" t="s">
        <v>1076</v>
      </c>
      <c r="S346" t="s">
        <v>47</v>
      </c>
      <c r="T346" t="s">
        <v>1077</v>
      </c>
    </row>
    <row r="347" spans="1:20" x14ac:dyDescent="0.25">
      <c r="A347" t="s">
        <v>1073</v>
      </c>
      <c r="B347" t="s">
        <v>23</v>
      </c>
      <c r="C347" t="s">
        <v>38</v>
      </c>
      <c r="D347" t="s">
        <v>479</v>
      </c>
      <c r="E347" t="s">
        <v>420</v>
      </c>
      <c r="F347" t="s">
        <v>335</v>
      </c>
      <c r="G347" t="s">
        <v>139</v>
      </c>
      <c r="H347" t="s">
        <v>1074</v>
      </c>
      <c r="I347" t="s">
        <v>1075</v>
      </c>
      <c r="J347" t="s">
        <v>222</v>
      </c>
      <c r="K347" t="s">
        <v>237</v>
      </c>
      <c r="L347" t="s">
        <v>237</v>
      </c>
      <c r="M347" t="s">
        <v>212</v>
      </c>
      <c r="N347" t="s">
        <v>213</v>
      </c>
      <c r="O347" t="s">
        <v>28</v>
      </c>
      <c r="P347" t="s">
        <v>28</v>
      </c>
      <c r="Q347" t="s">
        <v>139</v>
      </c>
      <c r="R347" t="s">
        <v>1076</v>
      </c>
      <c r="S347" t="s">
        <v>47</v>
      </c>
      <c r="T347" t="s">
        <v>1077</v>
      </c>
    </row>
    <row r="348" spans="1:20" x14ac:dyDescent="0.25">
      <c r="A348" t="s">
        <v>1073</v>
      </c>
      <c r="B348" t="s">
        <v>23</v>
      </c>
      <c r="C348" t="s">
        <v>38</v>
      </c>
      <c r="D348" t="s">
        <v>479</v>
      </c>
      <c r="E348" t="s">
        <v>420</v>
      </c>
      <c r="F348" t="s">
        <v>335</v>
      </c>
      <c r="G348" t="s">
        <v>139</v>
      </c>
      <c r="H348" t="s">
        <v>1074</v>
      </c>
      <c r="I348" t="s">
        <v>1075</v>
      </c>
      <c r="J348" t="s">
        <v>284</v>
      </c>
      <c r="K348" t="s">
        <v>223</v>
      </c>
      <c r="L348" t="s">
        <v>223</v>
      </c>
      <c r="M348" t="s">
        <v>212</v>
      </c>
      <c r="N348" t="s">
        <v>213</v>
      </c>
      <c r="O348" t="s">
        <v>28</v>
      </c>
      <c r="P348" t="s">
        <v>28</v>
      </c>
      <c r="Q348" t="s">
        <v>139</v>
      </c>
      <c r="R348" t="s">
        <v>1076</v>
      </c>
      <c r="S348" t="s">
        <v>47</v>
      </c>
      <c r="T348" t="s">
        <v>1077</v>
      </c>
    </row>
    <row r="349" spans="1:20" x14ac:dyDescent="0.25">
      <c r="A349" t="s">
        <v>1078</v>
      </c>
      <c r="B349" t="s">
        <v>23</v>
      </c>
      <c r="C349" t="s">
        <v>38</v>
      </c>
      <c r="D349" t="s">
        <v>479</v>
      </c>
      <c r="E349" t="s">
        <v>1079</v>
      </c>
      <c r="F349" t="s">
        <v>1080</v>
      </c>
      <c r="G349" t="s">
        <v>1081</v>
      </c>
      <c r="H349" t="s">
        <v>1082</v>
      </c>
      <c r="I349" t="s">
        <v>1083</v>
      </c>
      <c r="J349" t="s">
        <v>224</v>
      </c>
      <c r="K349" t="s">
        <v>223</v>
      </c>
      <c r="L349" t="s">
        <v>223</v>
      </c>
      <c r="M349" t="s">
        <v>212</v>
      </c>
      <c r="N349" t="s">
        <v>213</v>
      </c>
      <c r="O349" t="s">
        <v>28</v>
      </c>
      <c r="P349" t="s">
        <v>28</v>
      </c>
      <c r="Q349" t="s">
        <v>1081</v>
      </c>
      <c r="R349" t="s">
        <v>1084</v>
      </c>
      <c r="S349" t="s">
        <v>47</v>
      </c>
      <c r="T349" t="s">
        <v>1085</v>
      </c>
    </row>
    <row r="350" spans="1:20" x14ac:dyDescent="0.25">
      <c r="A350" t="s">
        <v>1086</v>
      </c>
      <c r="B350" t="s">
        <v>23</v>
      </c>
      <c r="C350" t="s">
        <v>24</v>
      </c>
      <c r="D350" t="s">
        <v>479</v>
      </c>
      <c r="E350" t="s">
        <v>104</v>
      </c>
      <c r="F350" t="s">
        <v>317</v>
      </c>
      <c r="G350" t="s">
        <v>105</v>
      </c>
      <c r="H350" t="s">
        <v>1087</v>
      </c>
      <c r="I350" t="s">
        <v>1088</v>
      </c>
      <c r="J350" t="s">
        <v>222</v>
      </c>
      <c r="K350" t="s">
        <v>237</v>
      </c>
      <c r="L350" t="s">
        <v>237</v>
      </c>
      <c r="M350" t="s">
        <v>212</v>
      </c>
      <c r="N350" t="s">
        <v>213</v>
      </c>
      <c r="O350" t="s">
        <v>28</v>
      </c>
      <c r="P350" t="s">
        <v>28</v>
      </c>
      <c r="Q350" t="s">
        <v>105</v>
      </c>
      <c r="R350" t="s">
        <v>1089</v>
      </c>
      <c r="S350" t="s">
        <v>47</v>
      </c>
      <c r="T350" t="s">
        <v>1090</v>
      </c>
    </row>
    <row r="351" spans="1:20" x14ac:dyDescent="0.25">
      <c r="A351" t="s">
        <v>1091</v>
      </c>
      <c r="B351" t="s">
        <v>23</v>
      </c>
      <c r="C351" t="s">
        <v>24</v>
      </c>
      <c r="D351" t="s">
        <v>479</v>
      </c>
      <c r="E351" t="s">
        <v>67</v>
      </c>
      <c r="F351" t="s">
        <v>323</v>
      </c>
      <c r="G351" t="s">
        <v>68</v>
      </c>
      <c r="H351" t="s">
        <v>324</v>
      </c>
      <c r="I351" t="s">
        <v>69</v>
      </c>
      <c r="J351" t="s">
        <v>224</v>
      </c>
      <c r="K351" t="s">
        <v>223</v>
      </c>
      <c r="L351" t="s">
        <v>223</v>
      </c>
      <c r="M351" t="s">
        <v>212</v>
      </c>
      <c r="N351" t="s">
        <v>213</v>
      </c>
      <c r="O351" t="s">
        <v>28</v>
      </c>
      <c r="P351" t="s">
        <v>28</v>
      </c>
      <c r="Q351" t="s">
        <v>68</v>
      </c>
      <c r="R351" t="s">
        <v>1092</v>
      </c>
      <c r="S351" t="s">
        <v>47</v>
      </c>
      <c r="T351" t="s">
        <v>1093</v>
      </c>
    </row>
    <row r="352" spans="1:20" x14ac:dyDescent="0.25">
      <c r="A352" t="s">
        <v>1094</v>
      </c>
      <c r="B352" t="s">
        <v>23</v>
      </c>
      <c r="C352" t="s">
        <v>24</v>
      </c>
      <c r="D352" t="s">
        <v>479</v>
      </c>
      <c r="E352" t="s">
        <v>123</v>
      </c>
      <c r="F352" t="s">
        <v>269</v>
      </c>
      <c r="G352" t="s">
        <v>124</v>
      </c>
      <c r="H352" t="s">
        <v>270</v>
      </c>
      <c r="I352" t="s">
        <v>125</v>
      </c>
      <c r="J352" t="s">
        <v>274</v>
      </c>
      <c r="K352" t="s">
        <v>237</v>
      </c>
      <c r="L352" t="s">
        <v>237</v>
      </c>
      <c r="M352" t="s">
        <v>212</v>
      </c>
      <c r="N352" t="s">
        <v>213</v>
      </c>
      <c r="O352" t="s">
        <v>28</v>
      </c>
      <c r="P352" t="s">
        <v>28</v>
      </c>
      <c r="Q352" t="s">
        <v>125</v>
      </c>
      <c r="R352" t="s">
        <v>1095</v>
      </c>
      <c r="S352" t="s">
        <v>47</v>
      </c>
      <c r="T352" t="s">
        <v>1096</v>
      </c>
    </row>
    <row r="353" spans="1:20" x14ac:dyDescent="0.25">
      <c r="A353" t="s">
        <v>1094</v>
      </c>
      <c r="B353" t="s">
        <v>23</v>
      </c>
      <c r="C353" t="s">
        <v>24</v>
      </c>
      <c r="D353" t="s">
        <v>479</v>
      </c>
      <c r="E353" t="s">
        <v>123</v>
      </c>
      <c r="F353" t="s">
        <v>269</v>
      </c>
      <c r="G353" t="s">
        <v>124</v>
      </c>
      <c r="H353" t="s">
        <v>270</v>
      </c>
      <c r="I353" t="s">
        <v>125</v>
      </c>
      <c r="J353" t="s">
        <v>347</v>
      </c>
      <c r="K353" t="s">
        <v>223</v>
      </c>
      <c r="L353" t="s">
        <v>223</v>
      </c>
      <c r="M353" t="s">
        <v>212</v>
      </c>
      <c r="N353" t="s">
        <v>213</v>
      </c>
      <c r="O353" t="s">
        <v>28</v>
      </c>
      <c r="P353" t="s">
        <v>28</v>
      </c>
      <c r="Q353" t="s">
        <v>125</v>
      </c>
      <c r="R353" t="s">
        <v>1095</v>
      </c>
      <c r="S353" t="s">
        <v>47</v>
      </c>
      <c r="T353" t="s">
        <v>1096</v>
      </c>
    </row>
    <row r="354" spans="1:20" x14ac:dyDescent="0.25">
      <c r="A354" t="s">
        <v>1094</v>
      </c>
      <c r="B354" t="s">
        <v>23</v>
      </c>
      <c r="C354" t="s">
        <v>24</v>
      </c>
      <c r="D354" t="s">
        <v>479</v>
      </c>
      <c r="E354" t="s">
        <v>123</v>
      </c>
      <c r="F354" t="s">
        <v>269</v>
      </c>
      <c r="G354" t="s">
        <v>124</v>
      </c>
      <c r="H354" t="s">
        <v>270</v>
      </c>
      <c r="I354" t="s">
        <v>125</v>
      </c>
      <c r="J354" t="s">
        <v>339</v>
      </c>
      <c r="K354" t="s">
        <v>223</v>
      </c>
      <c r="L354" t="s">
        <v>223</v>
      </c>
      <c r="M354" t="s">
        <v>212</v>
      </c>
      <c r="N354" t="s">
        <v>213</v>
      </c>
      <c r="O354" t="s">
        <v>28</v>
      </c>
      <c r="P354" t="s">
        <v>28</v>
      </c>
      <c r="Q354" t="s">
        <v>125</v>
      </c>
      <c r="R354" t="s">
        <v>1095</v>
      </c>
      <c r="S354" t="s">
        <v>47</v>
      </c>
      <c r="T354" t="s">
        <v>1096</v>
      </c>
    </row>
    <row r="355" spans="1:20" x14ac:dyDescent="0.25">
      <c r="A355" t="s">
        <v>1094</v>
      </c>
      <c r="B355" t="s">
        <v>23</v>
      </c>
      <c r="C355" t="s">
        <v>24</v>
      </c>
      <c r="D355" t="s">
        <v>479</v>
      </c>
      <c r="E355" t="s">
        <v>123</v>
      </c>
      <c r="F355" t="s">
        <v>269</v>
      </c>
      <c r="G355" t="s">
        <v>124</v>
      </c>
      <c r="H355" t="s">
        <v>270</v>
      </c>
      <c r="I355" t="s">
        <v>125</v>
      </c>
      <c r="J355" t="s">
        <v>230</v>
      </c>
      <c r="K355" t="s">
        <v>221</v>
      </c>
      <c r="L355" t="s">
        <v>221</v>
      </c>
      <c r="M355" t="s">
        <v>212</v>
      </c>
      <c r="N355" t="s">
        <v>213</v>
      </c>
      <c r="O355" t="s">
        <v>28</v>
      </c>
      <c r="P355" t="s">
        <v>28</v>
      </c>
      <c r="Q355" t="s">
        <v>125</v>
      </c>
      <c r="R355" t="s">
        <v>1095</v>
      </c>
      <c r="S355" t="s">
        <v>47</v>
      </c>
      <c r="T355" t="s">
        <v>1096</v>
      </c>
    </row>
    <row r="356" spans="1:20" x14ac:dyDescent="0.25">
      <c r="A356" t="s">
        <v>1097</v>
      </c>
      <c r="B356" t="s">
        <v>23</v>
      </c>
      <c r="C356" t="s">
        <v>24</v>
      </c>
      <c r="D356" t="s">
        <v>479</v>
      </c>
      <c r="E356" t="s">
        <v>2</v>
      </c>
      <c r="F356" t="s">
        <v>235</v>
      </c>
      <c r="G356" t="s">
        <v>122</v>
      </c>
      <c r="H356" t="s">
        <v>391</v>
      </c>
      <c r="I356" t="s">
        <v>392</v>
      </c>
      <c r="J356" t="s">
        <v>230</v>
      </c>
      <c r="K356" t="s">
        <v>231</v>
      </c>
      <c r="L356" t="s">
        <v>231</v>
      </c>
      <c r="M356" t="s">
        <v>212</v>
      </c>
      <c r="N356" t="s">
        <v>1098</v>
      </c>
      <c r="O356" t="s">
        <v>28</v>
      </c>
      <c r="P356" t="s">
        <v>28</v>
      </c>
      <c r="Q356" t="s">
        <v>121</v>
      </c>
      <c r="R356" t="s">
        <v>1099</v>
      </c>
      <c r="S356" t="s">
        <v>47</v>
      </c>
      <c r="T356" t="s">
        <v>1100</v>
      </c>
    </row>
    <row r="357" spans="1:20" x14ac:dyDescent="0.25">
      <c r="A357" t="s">
        <v>1097</v>
      </c>
      <c r="B357" t="s">
        <v>23</v>
      </c>
      <c r="C357" t="s">
        <v>24</v>
      </c>
      <c r="D357" t="s">
        <v>479</v>
      </c>
      <c r="E357" t="s">
        <v>2</v>
      </c>
      <c r="F357" t="s">
        <v>235</v>
      </c>
      <c r="G357" t="s">
        <v>122</v>
      </c>
      <c r="H357" t="s">
        <v>391</v>
      </c>
      <c r="I357" t="s">
        <v>392</v>
      </c>
      <c r="J357" t="s">
        <v>224</v>
      </c>
      <c r="K357" t="s">
        <v>223</v>
      </c>
      <c r="L357" t="s">
        <v>223</v>
      </c>
      <c r="M357" t="s">
        <v>212</v>
      </c>
      <c r="N357" t="s">
        <v>213</v>
      </c>
      <c r="O357" t="s">
        <v>28</v>
      </c>
      <c r="P357" t="s">
        <v>28</v>
      </c>
      <c r="Q357" t="s">
        <v>121</v>
      </c>
      <c r="R357" t="s">
        <v>1099</v>
      </c>
      <c r="S357" t="s">
        <v>47</v>
      </c>
      <c r="T357" t="s">
        <v>1100</v>
      </c>
    </row>
    <row r="358" spans="1:20" x14ac:dyDescent="0.25">
      <c r="A358" t="s">
        <v>1101</v>
      </c>
      <c r="B358" t="s">
        <v>23</v>
      </c>
      <c r="C358" t="s">
        <v>38</v>
      </c>
      <c r="D358" t="s">
        <v>479</v>
      </c>
      <c r="E358" t="s">
        <v>126</v>
      </c>
      <c r="F358" t="s">
        <v>214</v>
      </c>
      <c r="G358" t="s">
        <v>127</v>
      </c>
      <c r="H358" t="s">
        <v>215</v>
      </c>
      <c r="I358" t="s">
        <v>128</v>
      </c>
      <c r="J358" t="s">
        <v>230</v>
      </c>
      <c r="K358" t="s">
        <v>221</v>
      </c>
      <c r="L358" t="s">
        <v>221</v>
      </c>
      <c r="M358" t="s">
        <v>212</v>
      </c>
      <c r="N358" t="s">
        <v>213</v>
      </c>
      <c r="O358" t="s">
        <v>28</v>
      </c>
      <c r="P358" t="s">
        <v>28</v>
      </c>
      <c r="Q358" t="s">
        <v>127</v>
      </c>
      <c r="R358" t="s">
        <v>1102</v>
      </c>
      <c r="S358" t="s">
        <v>47</v>
      </c>
      <c r="T358" t="s">
        <v>1103</v>
      </c>
    </row>
    <row r="359" spans="1:20" x14ac:dyDescent="0.25">
      <c r="A359" t="s">
        <v>1104</v>
      </c>
      <c r="B359" t="s">
        <v>23</v>
      </c>
      <c r="C359" t="s">
        <v>38</v>
      </c>
      <c r="D359" t="s">
        <v>479</v>
      </c>
      <c r="E359" t="s">
        <v>165</v>
      </c>
      <c r="F359" t="s">
        <v>250</v>
      </c>
      <c r="G359" t="s">
        <v>166</v>
      </c>
      <c r="H359" t="s">
        <v>251</v>
      </c>
      <c r="I359" t="s">
        <v>167</v>
      </c>
      <c r="J359" t="s">
        <v>222</v>
      </c>
      <c r="K359" t="s">
        <v>237</v>
      </c>
      <c r="L359" t="s">
        <v>237</v>
      </c>
      <c r="M359" t="s">
        <v>212</v>
      </c>
      <c r="N359" t="s">
        <v>213</v>
      </c>
      <c r="O359" t="s">
        <v>28</v>
      </c>
      <c r="P359" t="s">
        <v>28</v>
      </c>
      <c r="Q359" t="s">
        <v>167</v>
      </c>
      <c r="R359" t="s">
        <v>1105</v>
      </c>
      <c r="S359" t="s">
        <v>47</v>
      </c>
      <c r="T359" t="s">
        <v>1106</v>
      </c>
    </row>
    <row r="360" spans="1:20" x14ac:dyDescent="0.25">
      <c r="A360" t="s">
        <v>1104</v>
      </c>
      <c r="B360" t="s">
        <v>23</v>
      </c>
      <c r="C360" t="s">
        <v>38</v>
      </c>
      <c r="D360" t="s">
        <v>479</v>
      </c>
      <c r="E360" t="s">
        <v>165</v>
      </c>
      <c r="F360" t="s">
        <v>250</v>
      </c>
      <c r="G360" t="s">
        <v>166</v>
      </c>
      <c r="H360" t="s">
        <v>251</v>
      </c>
      <c r="I360" t="s">
        <v>167</v>
      </c>
      <c r="J360" t="s">
        <v>347</v>
      </c>
      <c r="K360" t="s">
        <v>237</v>
      </c>
      <c r="L360" t="s">
        <v>237</v>
      </c>
      <c r="M360" t="s">
        <v>212</v>
      </c>
      <c r="N360" t="s">
        <v>213</v>
      </c>
      <c r="O360" t="s">
        <v>28</v>
      </c>
      <c r="P360" t="s">
        <v>28</v>
      </c>
      <c r="Q360" t="s">
        <v>167</v>
      </c>
      <c r="R360" t="s">
        <v>1105</v>
      </c>
      <c r="S360" t="s">
        <v>47</v>
      </c>
      <c r="T360" t="s">
        <v>1106</v>
      </c>
    </row>
    <row r="361" spans="1:20" x14ac:dyDescent="0.25">
      <c r="A361" t="s">
        <v>1104</v>
      </c>
      <c r="B361" t="s">
        <v>23</v>
      </c>
      <c r="C361" t="s">
        <v>38</v>
      </c>
      <c r="D361" t="s">
        <v>479</v>
      </c>
      <c r="E361" t="s">
        <v>165</v>
      </c>
      <c r="F361" t="s">
        <v>250</v>
      </c>
      <c r="G361" t="s">
        <v>166</v>
      </c>
      <c r="H361" t="s">
        <v>251</v>
      </c>
      <c r="I361" t="s">
        <v>167</v>
      </c>
      <c r="J361" t="s">
        <v>230</v>
      </c>
      <c r="K361" t="s">
        <v>231</v>
      </c>
      <c r="L361" t="s">
        <v>231</v>
      </c>
      <c r="M361" t="s">
        <v>212</v>
      </c>
      <c r="N361" t="s">
        <v>213</v>
      </c>
      <c r="O361" t="s">
        <v>28</v>
      </c>
      <c r="P361" t="s">
        <v>28</v>
      </c>
      <c r="Q361" t="s">
        <v>167</v>
      </c>
      <c r="R361" t="s">
        <v>1105</v>
      </c>
      <c r="S361" t="s">
        <v>47</v>
      </c>
      <c r="T361" t="s">
        <v>1106</v>
      </c>
    </row>
    <row r="362" spans="1:20" x14ac:dyDescent="0.25">
      <c r="A362" t="s">
        <v>1104</v>
      </c>
      <c r="B362" t="s">
        <v>23</v>
      </c>
      <c r="C362" t="s">
        <v>38</v>
      </c>
      <c r="D362" t="s">
        <v>479</v>
      </c>
      <c r="E362" t="s">
        <v>165</v>
      </c>
      <c r="F362" t="s">
        <v>250</v>
      </c>
      <c r="G362" t="s">
        <v>166</v>
      </c>
      <c r="H362" t="s">
        <v>251</v>
      </c>
      <c r="I362" t="s">
        <v>167</v>
      </c>
      <c r="J362" t="s">
        <v>257</v>
      </c>
      <c r="K362" t="s">
        <v>240</v>
      </c>
      <c r="L362" t="s">
        <v>240</v>
      </c>
      <c r="M362" t="s">
        <v>212</v>
      </c>
      <c r="N362" t="s">
        <v>213</v>
      </c>
      <c r="O362" t="s">
        <v>28</v>
      </c>
      <c r="P362" t="s">
        <v>28</v>
      </c>
      <c r="Q362" t="s">
        <v>167</v>
      </c>
      <c r="R362" t="s">
        <v>1105</v>
      </c>
      <c r="S362" t="s">
        <v>47</v>
      </c>
      <c r="T362" t="s">
        <v>1106</v>
      </c>
    </row>
    <row r="363" spans="1:20" x14ac:dyDescent="0.25">
      <c r="A363" t="s">
        <v>1107</v>
      </c>
      <c r="B363" t="s">
        <v>23</v>
      </c>
      <c r="C363" t="s">
        <v>24</v>
      </c>
      <c r="D363" t="s">
        <v>479</v>
      </c>
      <c r="E363" t="s">
        <v>773</v>
      </c>
      <c r="F363" t="s">
        <v>320</v>
      </c>
      <c r="G363" t="s">
        <v>59</v>
      </c>
      <c r="H363" t="s">
        <v>321</v>
      </c>
      <c r="I363" t="s">
        <v>60</v>
      </c>
      <c r="J363" t="s">
        <v>230</v>
      </c>
      <c r="K363" t="s">
        <v>221</v>
      </c>
      <c r="L363" t="s">
        <v>221</v>
      </c>
      <c r="M363" t="s">
        <v>212</v>
      </c>
      <c r="N363" t="s">
        <v>213</v>
      </c>
      <c r="O363" t="s">
        <v>28</v>
      </c>
      <c r="P363" t="s">
        <v>28</v>
      </c>
      <c r="Q363" t="s">
        <v>59</v>
      </c>
      <c r="R363" t="s">
        <v>1108</v>
      </c>
      <c r="S363" t="s">
        <v>47</v>
      </c>
      <c r="T363" t="s">
        <v>1109</v>
      </c>
    </row>
    <row r="364" spans="1:20" x14ac:dyDescent="0.25">
      <c r="A364" t="s">
        <v>1107</v>
      </c>
      <c r="B364" t="s">
        <v>23</v>
      </c>
      <c r="C364" t="s">
        <v>24</v>
      </c>
      <c r="D364" t="s">
        <v>479</v>
      </c>
      <c r="E364" t="s">
        <v>773</v>
      </c>
      <c r="F364" t="s">
        <v>320</v>
      </c>
      <c r="G364" t="s">
        <v>59</v>
      </c>
      <c r="H364" t="s">
        <v>321</v>
      </c>
      <c r="I364" t="s">
        <v>60</v>
      </c>
      <c r="J364" t="s">
        <v>222</v>
      </c>
      <c r="K364" t="s">
        <v>223</v>
      </c>
      <c r="L364" t="s">
        <v>237</v>
      </c>
      <c r="M364" t="s">
        <v>212</v>
      </c>
      <c r="N364" t="s">
        <v>213</v>
      </c>
      <c r="O364" t="s">
        <v>28</v>
      </c>
      <c r="P364" t="s">
        <v>28</v>
      </c>
      <c r="Q364" t="s">
        <v>59</v>
      </c>
      <c r="R364" t="s">
        <v>1108</v>
      </c>
      <c r="S364" t="s">
        <v>47</v>
      </c>
      <c r="T364" t="s">
        <v>1109</v>
      </c>
    </row>
    <row r="365" spans="1:20" x14ac:dyDescent="0.25">
      <c r="A365" t="s">
        <v>1110</v>
      </c>
      <c r="B365" t="s">
        <v>23</v>
      </c>
      <c r="C365" t="s">
        <v>24</v>
      </c>
      <c r="D365" t="s">
        <v>479</v>
      </c>
      <c r="E365" t="s">
        <v>110</v>
      </c>
      <c r="F365" t="s">
        <v>277</v>
      </c>
      <c r="G365" t="s">
        <v>111</v>
      </c>
      <c r="H365" t="s">
        <v>278</v>
      </c>
      <c r="I365" t="s">
        <v>112</v>
      </c>
      <c r="J365" t="s">
        <v>257</v>
      </c>
      <c r="K365" t="s">
        <v>221</v>
      </c>
      <c r="L365" t="s">
        <v>221</v>
      </c>
      <c r="M365" t="s">
        <v>212</v>
      </c>
      <c r="N365" t="s">
        <v>213</v>
      </c>
      <c r="O365" t="s">
        <v>28</v>
      </c>
      <c r="P365" t="s">
        <v>28</v>
      </c>
      <c r="Q365" t="s">
        <v>112</v>
      </c>
      <c r="R365" t="s">
        <v>1111</v>
      </c>
      <c r="S365" t="s">
        <v>47</v>
      </c>
      <c r="T365" t="s">
        <v>1112</v>
      </c>
    </row>
    <row r="366" spans="1:20" x14ac:dyDescent="0.25">
      <c r="A366" t="s">
        <v>1110</v>
      </c>
      <c r="B366" t="s">
        <v>23</v>
      </c>
      <c r="C366" t="s">
        <v>24</v>
      </c>
      <c r="D366" t="s">
        <v>479</v>
      </c>
      <c r="E366" t="s">
        <v>110</v>
      </c>
      <c r="F366" t="s">
        <v>277</v>
      </c>
      <c r="G366" t="s">
        <v>111</v>
      </c>
      <c r="H366" t="s">
        <v>278</v>
      </c>
      <c r="I366" t="s">
        <v>112</v>
      </c>
      <c r="J366" t="s">
        <v>230</v>
      </c>
      <c r="K366" t="s">
        <v>221</v>
      </c>
      <c r="L366" t="s">
        <v>221</v>
      </c>
      <c r="M366" t="s">
        <v>212</v>
      </c>
      <c r="N366" t="s">
        <v>213</v>
      </c>
      <c r="O366" t="s">
        <v>28</v>
      </c>
      <c r="P366" t="s">
        <v>28</v>
      </c>
      <c r="Q366" t="s">
        <v>112</v>
      </c>
      <c r="R366" t="s">
        <v>1111</v>
      </c>
      <c r="S366" t="s">
        <v>47</v>
      </c>
      <c r="T366" t="s">
        <v>1112</v>
      </c>
    </row>
    <row r="367" spans="1:20" x14ac:dyDescent="0.25">
      <c r="A367" t="s">
        <v>1113</v>
      </c>
      <c r="B367" t="s">
        <v>23</v>
      </c>
      <c r="C367" t="s">
        <v>24</v>
      </c>
      <c r="D367" t="s">
        <v>479</v>
      </c>
      <c r="E367" t="s">
        <v>133</v>
      </c>
      <c r="F367" t="s">
        <v>313</v>
      </c>
      <c r="G367" t="s">
        <v>156</v>
      </c>
      <c r="H367" t="s">
        <v>340</v>
      </c>
      <c r="I367" t="s">
        <v>134</v>
      </c>
      <c r="J367" t="s">
        <v>222</v>
      </c>
      <c r="K367" t="s">
        <v>237</v>
      </c>
      <c r="L367" t="s">
        <v>237</v>
      </c>
      <c r="M367" t="s">
        <v>212</v>
      </c>
      <c r="N367" t="s">
        <v>213</v>
      </c>
      <c r="O367" t="s">
        <v>28</v>
      </c>
      <c r="P367" t="s">
        <v>28</v>
      </c>
      <c r="Q367" t="s">
        <v>134</v>
      </c>
      <c r="R367" t="s">
        <v>1114</v>
      </c>
      <c r="S367" t="s">
        <v>695</v>
      </c>
      <c r="T367" t="s">
        <v>1115</v>
      </c>
    </row>
    <row r="368" spans="1:20" x14ac:dyDescent="0.25">
      <c r="A368" t="s">
        <v>1113</v>
      </c>
      <c r="B368" t="s">
        <v>23</v>
      </c>
      <c r="C368" t="s">
        <v>24</v>
      </c>
      <c r="D368" t="s">
        <v>479</v>
      </c>
      <c r="E368" t="s">
        <v>133</v>
      </c>
      <c r="F368" t="s">
        <v>313</v>
      </c>
      <c r="G368" t="s">
        <v>156</v>
      </c>
      <c r="H368" t="s">
        <v>340</v>
      </c>
      <c r="I368" t="s">
        <v>134</v>
      </c>
      <c r="J368" t="s">
        <v>230</v>
      </c>
      <c r="K368" t="s">
        <v>285</v>
      </c>
      <c r="L368" t="s">
        <v>285</v>
      </c>
      <c r="M368" t="s">
        <v>212</v>
      </c>
      <c r="N368" t="s">
        <v>213</v>
      </c>
      <c r="O368" t="s">
        <v>28</v>
      </c>
      <c r="P368" t="s">
        <v>28</v>
      </c>
      <c r="Q368" t="s">
        <v>134</v>
      </c>
      <c r="R368" t="s">
        <v>1114</v>
      </c>
      <c r="S368" t="s">
        <v>695</v>
      </c>
      <c r="T368" t="s">
        <v>1115</v>
      </c>
    </row>
    <row r="369" spans="1:20" x14ac:dyDescent="0.25">
      <c r="A369" t="s">
        <v>1116</v>
      </c>
      <c r="B369" t="s">
        <v>23</v>
      </c>
      <c r="C369" t="s">
        <v>24</v>
      </c>
      <c r="D369" t="s">
        <v>479</v>
      </c>
      <c r="E369" t="s">
        <v>76</v>
      </c>
      <c r="F369" t="s">
        <v>293</v>
      </c>
      <c r="G369" t="s">
        <v>77</v>
      </c>
      <c r="H369" t="s">
        <v>294</v>
      </c>
      <c r="I369" t="s">
        <v>78</v>
      </c>
      <c r="J369" t="s">
        <v>290</v>
      </c>
      <c r="K369" t="s">
        <v>239</v>
      </c>
      <c r="L369" t="s">
        <v>239</v>
      </c>
      <c r="M369" t="s">
        <v>212</v>
      </c>
      <c r="N369" t="s">
        <v>213</v>
      </c>
      <c r="O369" t="s">
        <v>28</v>
      </c>
      <c r="P369" t="s">
        <v>28</v>
      </c>
      <c r="Q369" t="s">
        <v>77</v>
      </c>
      <c r="R369" t="s">
        <v>1117</v>
      </c>
      <c r="S369" t="s">
        <v>47</v>
      </c>
      <c r="T369" t="s">
        <v>1118</v>
      </c>
    </row>
    <row r="370" spans="1:20" x14ac:dyDescent="0.25">
      <c r="A370" t="s">
        <v>1116</v>
      </c>
      <c r="B370" t="s">
        <v>23</v>
      </c>
      <c r="C370" t="s">
        <v>24</v>
      </c>
      <c r="D370" t="s">
        <v>479</v>
      </c>
      <c r="E370" t="s">
        <v>76</v>
      </c>
      <c r="F370" t="s">
        <v>293</v>
      </c>
      <c r="G370" t="s">
        <v>77</v>
      </c>
      <c r="H370" t="s">
        <v>294</v>
      </c>
      <c r="I370" t="s">
        <v>78</v>
      </c>
      <c r="J370" t="s">
        <v>295</v>
      </c>
      <c r="K370" t="s">
        <v>237</v>
      </c>
      <c r="L370" t="s">
        <v>237</v>
      </c>
      <c r="M370" t="s">
        <v>212</v>
      </c>
      <c r="N370" t="s">
        <v>296</v>
      </c>
      <c r="O370" t="s">
        <v>28</v>
      </c>
      <c r="P370" t="s">
        <v>28</v>
      </c>
      <c r="Q370" t="s">
        <v>77</v>
      </c>
      <c r="R370" t="s">
        <v>1117</v>
      </c>
      <c r="S370" t="s">
        <v>47</v>
      </c>
      <c r="T370" t="s">
        <v>1118</v>
      </c>
    </row>
    <row r="371" spans="1:20" x14ac:dyDescent="0.25">
      <c r="A371" t="s">
        <v>1116</v>
      </c>
      <c r="B371" t="s">
        <v>23</v>
      </c>
      <c r="C371" t="s">
        <v>24</v>
      </c>
      <c r="D371" t="s">
        <v>479</v>
      </c>
      <c r="E371" t="s">
        <v>76</v>
      </c>
      <c r="F371" t="s">
        <v>293</v>
      </c>
      <c r="G371" t="s">
        <v>77</v>
      </c>
      <c r="H371" t="s">
        <v>294</v>
      </c>
      <c r="I371" t="s">
        <v>78</v>
      </c>
      <c r="J371" t="s">
        <v>253</v>
      </c>
      <c r="K371" t="s">
        <v>223</v>
      </c>
      <c r="L371" t="s">
        <v>223</v>
      </c>
      <c r="M371" t="s">
        <v>212</v>
      </c>
      <c r="N371" t="s">
        <v>213</v>
      </c>
      <c r="O371" t="s">
        <v>28</v>
      </c>
      <c r="P371" t="s">
        <v>28</v>
      </c>
      <c r="Q371" t="s">
        <v>77</v>
      </c>
      <c r="R371" t="s">
        <v>1117</v>
      </c>
      <c r="S371" t="s">
        <v>47</v>
      </c>
      <c r="T371" t="s">
        <v>1118</v>
      </c>
    </row>
    <row r="372" spans="1:20" x14ac:dyDescent="0.25">
      <c r="A372" t="s">
        <v>1116</v>
      </c>
      <c r="B372" t="s">
        <v>23</v>
      </c>
      <c r="C372" t="s">
        <v>24</v>
      </c>
      <c r="D372" t="s">
        <v>479</v>
      </c>
      <c r="E372" t="s">
        <v>76</v>
      </c>
      <c r="F372" t="s">
        <v>293</v>
      </c>
      <c r="G372" t="s">
        <v>77</v>
      </c>
      <c r="H372" t="s">
        <v>294</v>
      </c>
      <c r="I372" t="s">
        <v>78</v>
      </c>
      <c r="J372" t="s">
        <v>224</v>
      </c>
      <c r="K372" t="s">
        <v>237</v>
      </c>
      <c r="L372" t="s">
        <v>223</v>
      </c>
      <c r="M372" t="s">
        <v>212</v>
      </c>
      <c r="N372" t="s">
        <v>297</v>
      </c>
      <c r="O372" t="s">
        <v>28</v>
      </c>
      <c r="P372" t="s">
        <v>28</v>
      </c>
      <c r="Q372" t="s">
        <v>77</v>
      </c>
      <c r="R372" t="s">
        <v>1117</v>
      </c>
      <c r="S372" t="s">
        <v>47</v>
      </c>
      <c r="T372" t="s">
        <v>1118</v>
      </c>
    </row>
    <row r="373" spans="1:20" x14ac:dyDescent="0.25">
      <c r="A373" t="s">
        <v>1119</v>
      </c>
      <c r="B373" t="s">
        <v>23</v>
      </c>
      <c r="C373" t="s">
        <v>24</v>
      </c>
      <c r="D373" t="s">
        <v>479</v>
      </c>
      <c r="E373" t="s">
        <v>96</v>
      </c>
      <c r="F373" t="s">
        <v>299</v>
      </c>
      <c r="G373" t="s">
        <v>97</v>
      </c>
      <c r="H373" t="s">
        <v>300</v>
      </c>
      <c r="I373" t="s">
        <v>98</v>
      </c>
      <c r="J373" t="s">
        <v>224</v>
      </c>
      <c r="K373" t="s">
        <v>223</v>
      </c>
      <c r="L373" t="s">
        <v>223</v>
      </c>
      <c r="M373" t="s">
        <v>212</v>
      </c>
      <c r="N373" t="s">
        <v>213</v>
      </c>
      <c r="O373" t="s">
        <v>28</v>
      </c>
      <c r="P373" t="s">
        <v>28</v>
      </c>
      <c r="Q373" t="s">
        <v>97</v>
      </c>
      <c r="R373" t="s">
        <v>1120</v>
      </c>
      <c r="S373" t="s">
        <v>695</v>
      </c>
      <c r="T373" t="s">
        <v>1121</v>
      </c>
    </row>
    <row r="374" spans="1:20" x14ac:dyDescent="0.25">
      <c r="A374" t="s">
        <v>1119</v>
      </c>
      <c r="B374" t="s">
        <v>23</v>
      </c>
      <c r="C374" t="s">
        <v>24</v>
      </c>
      <c r="D374" t="s">
        <v>479</v>
      </c>
      <c r="E374" t="s">
        <v>96</v>
      </c>
      <c r="F374" t="s">
        <v>299</v>
      </c>
      <c r="G374" t="s">
        <v>97</v>
      </c>
      <c r="H374" t="s">
        <v>300</v>
      </c>
      <c r="I374" t="s">
        <v>98</v>
      </c>
      <c r="J374" t="s">
        <v>393</v>
      </c>
      <c r="K374" t="s">
        <v>219</v>
      </c>
      <c r="L374" t="s">
        <v>219</v>
      </c>
      <c r="M374" t="s">
        <v>212</v>
      </c>
      <c r="N374" t="s">
        <v>213</v>
      </c>
      <c r="O374" t="s">
        <v>28</v>
      </c>
      <c r="P374" t="s">
        <v>28</v>
      </c>
      <c r="Q374" t="s">
        <v>97</v>
      </c>
      <c r="R374" t="s">
        <v>1120</v>
      </c>
      <c r="S374" t="s">
        <v>695</v>
      </c>
      <c r="T374" t="s">
        <v>1121</v>
      </c>
    </row>
    <row r="375" spans="1:20" x14ac:dyDescent="0.25">
      <c r="A375" t="s">
        <v>1119</v>
      </c>
      <c r="B375" t="s">
        <v>23</v>
      </c>
      <c r="C375" t="s">
        <v>24</v>
      </c>
      <c r="D375" t="s">
        <v>479</v>
      </c>
      <c r="E375" t="s">
        <v>96</v>
      </c>
      <c r="F375" t="s">
        <v>299</v>
      </c>
      <c r="G375" t="s">
        <v>97</v>
      </c>
      <c r="H375" t="s">
        <v>300</v>
      </c>
      <c r="I375" t="s">
        <v>98</v>
      </c>
      <c r="J375" t="s">
        <v>218</v>
      </c>
      <c r="K375" t="s">
        <v>219</v>
      </c>
      <c r="L375" t="s">
        <v>219</v>
      </c>
      <c r="M375" t="s">
        <v>212</v>
      </c>
      <c r="N375" t="s">
        <v>213</v>
      </c>
      <c r="O375" t="s">
        <v>28</v>
      </c>
      <c r="P375" t="s">
        <v>28</v>
      </c>
      <c r="Q375" t="s">
        <v>97</v>
      </c>
      <c r="R375" t="s">
        <v>1120</v>
      </c>
      <c r="S375" t="s">
        <v>695</v>
      </c>
      <c r="T375" t="s">
        <v>1121</v>
      </c>
    </row>
    <row r="376" spans="1:20" x14ac:dyDescent="0.25">
      <c r="A376" t="s">
        <v>1119</v>
      </c>
      <c r="B376" t="s">
        <v>23</v>
      </c>
      <c r="C376" t="s">
        <v>24</v>
      </c>
      <c r="D376" t="s">
        <v>479</v>
      </c>
      <c r="E376" t="s">
        <v>96</v>
      </c>
      <c r="F376" t="s">
        <v>299</v>
      </c>
      <c r="G376" t="s">
        <v>97</v>
      </c>
      <c r="H376" t="s">
        <v>300</v>
      </c>
      <c r="I376" t="s">
        <v>98</v>
      </c>
      <c r="J376" t="s">
        <v>222</v>
      </c>
      <c r="K376" t="s">
        <v>223</v>
      </c>
      <c r="L376" t="s">
        <v>237</v>
      </c>
      <c r="M376" t="s">
        <v>212</v>
      </c>
      <c r="N376" t="s">
        <v>213</v>
      </c>
      <c r="O376" t="s">
        <v>28</v>
      </c>
      <c r="P376" t="s">
        <v>28</v>
      </c>
      <c r="Q376" t="s">
        <v>97</v>
      </c>
      <c r="R376" t="s">
        <v>1120</v>
      </c>
      <c r="S376" t="s">
        <v>695</v>
      </c>
      <c r="T376" t="s">
        <v>1121</v>
      </c>
    </row>
    <row r="377" spans="1:20" x14ac:dyDescent="0.25">
      <c r="A377" t="s">
        <v>1122</v>
      </c>
      <c r="B377" t="s">
        <v>23</v>
      </c>
      <c r="C377" t="s">
        <v>24</v>
      </c>
      <c r="D377" t="s">
        <v>479</v>
      </c>
      <c r="E377" t="s">
        <v>1123</v>
      </c>
      <c r="F377" t="s">
        <v>1124</v>
      </c>
      <c r="G377" t="s">
        <v>1125</v>
      </c>
      <c r="H377" t="s">
        <v>1126</v>
      </c>
      <c r="I377" t="s">
        <v>1127</v>
      </c>
      <c r="J377" t="s">
        <v>222</v>
      </c>
      <c r="K377" t="s">
        <v>237</v>
      </c>
      <c r="L377" t="s">
        <v>237</v>
      </c>
      <c r="M377" t="s">
        <v>212</v>
      </c>
      <c r="N377" t="s">
        <v>213</v>
      </c>
      <c r="O377" t="s">
        <v>28</v>
      </c>
      <c r="P377" t="s">
        <v>28</v>
      </c>
      <c r="Q377" t="s">
        <v>1125</v>
      </c>
      <c r="R377" t="s">
        <v>1128</v>
      </c>
      <c r="S377" t="s">
        <v>47</v>
      </c>
      <c r="T377" t="s">
        <v>1129</v>
      </c>
    </row>
    <row r="378" spans="1:20" x14ac:dyDescent="0.25">
      <c r="A378" t="s">
        <v>1122</v>
      </c>
      <c r="B378" t="s">
        <v>23</v>
      </c>
      <c r="C378" t="s">
        <v>24</v>
      </c>
      <c r="D378" t="s">
        <v>479</v>
      </c>
      <c r="E378" t="s">
        <v>1123</v>
      </c>
      <c r="F378" t="s">
        <v>1124</v>
      </c>
      <c r="G378" t="s">
        <v>1125</v>
      </c>
      <c r="H378" t="s">
        <v>1126</v>
      </c>
      <c r="I378" t="s">
        <v>1127</v>
      </c>
      <c r="J378" t="s">
        <v>230</v>
      </c>
      <c r="K378" t="s">
        <v>221</v>
      </c>
      <c r="L378" t="s">
        <v>221</v>
      </c>
      <c r="M378" t="s">
        <v>212</v>
      </c>
      <c r="N378" t="s">
        <v>213</v>
      </c>
      <c r="O378" t="s">
        <v>28</v>
      </c>
      <c r="P378" t="s">
        <v>28</v>
      </c>
      <c r="Q378" t="s">
        <v>1125</v>
      </c>
      <c r="R378" t="s">
        <v>1128</v>
      </c>
      <c r="S378" t="s">
        <v>47</v>
      </c>
      <c r="T378" t="s">
        <v>1129</v>
      </c>
    </row>
    <row r="379" spans="1:20" x14ac:dyDescent="0.25">
      <c r="A379" t="s">
        <v>1130</v>
      </c>
      <c r="B379" t="s">
        <v>23</v>
      </c>
      <c r="C379" t="s">
        <v>24</v>
      </c>
      <c r="D379" t="s">
        <v>479</v>
      </c>
      <c r="E379" t="s">
        <v>474</v>
      </c>
      <c r="F379" t="s">
        <v>448</v>
      </c>
      <c r="G379" t="s">
        <v>449</v>
      </c>
      <c r="H379" t="s">
        <v>450</v>
      </c>
      <c r="I379" t="s">
        <v>451</v>
      </c>
      <c r="J379" t="s">
        <v>253</v>
      </c>
      <c r="K379" t="s">
        <v>1131</v>
      </c>
      <c r="L379" t="s">
        <v>1131</v>
      </c>
      <c r="M379" t="s">
        <v>212</v>
      </c>
      <c r="N379" t="s">
        <v>213</v>
      </c>
      <c r="O379" t="s">
        <v>28</v>
      </c>
      <c r="P379" t="s">
        <v>28</v>
      </c>
      <c r="Q379" t="s">
        <v>449</v>
      </c>
      <c r="R379" t="s">
        <v>1132</v>
      </c>
      <c r="S379" t="s">
        <v>47</v>
      </c>
      <c r="T379" t="s">
        <v>1133</v>
      </c>
    </row>
    <row r="380" spans="1:20" x14ac:dyDescent="0.25">
      <c r="A380" t="s">
        <v>1130</v>
      </c>
      <c r="B380" t="s">
        <v>23</v>
      </c>
      <c r="C380" t="s">
        <v>24</v>
      </c>
      <c r="D380" t="s">
        <v>479</v>
      </c>
      <c r="E380" t="s">
        <v>474</v>
      </c>
      <c r="F380" t="s">
        <v>448</v>
      </c>
      <c r="G380" t="s">
        <v>449</v>
      </c>
      <c r="H380" t="s">
        <v>450</v>
      </c>
      <c r="I380" t="s">
        <v>451</v>
      </c>
      <c r="J380" t="s">
        <v>222</v>
      </c>
      <c r="K380" t="s">
        <v>237</v>
      </c>
      <c r="L380" t="s">
        <v>237</v>
      </c>
      <c r="M380" t="s">
        <v>212</v>
      </c>
      <c r="N380" t="s">
        <v>213</v>
      </c>
      <c r="O380" t="s">
        <v>28</v>
      </c>
      <c r="P380" t="s">
        <v>28</v>
      </c>
      <c r="Q380" t="s">
        <v>449</v>
      </c>
      <c r="R380" t="s">
        <v>1132</v>
      </c>
      <c r="S380" t="s">
        <v>47</v>
      </c>
      <c r="T380" t="s">
        <v>1133</v>
      </c>
    </row>
    <row r="381" spans="1:20" x14ac:dyDescent="0.25">
      <c r="A381" t="s">
        <v>1134</v>
      </c>
      <c r="B381" t="s">
        <v>23</v>
      </c>
      <c r="C381" t="s">
        <v>24</v>
      </c>
      <c r="D381" t="s">
        <v>479</v>
      </c>
      <c r="E381" t="s">
        <v>468</v>
      </c>
      <c r="F381" t="s">
        <v>394</v>
      </c>
      <c r="G381" t="s">
        <v>395</v>
      </c>
      <c r="H381" t="s">
        <v>396</v>
      </c>
      <c r="I381" t="s">
        <v>397</v>
      </c>
      <c r="J381" t="s">
        <v>230</v>
      </c>
      <c r="K381" t="s">
        <v>285</v>
      </c>
      <c r="L381" t="s">
        <v>285</v>
      </c>
      <c r="M381" t="s">
        <v>212</v>
      </c>
      <c r="N381" t="s">
        <v>213</v>
      </c>
      <c r="O381" t="s">
        <v>28</v>
      </c>
      <c r="P381" t="s">
        <v>28</v>
      </c>
      <c r="Q381" t="s">
        <v>395</v>
      </c>
      <c r="R381" t="s">
        <v>1135</v>
      </c>
      <c r="S381" t="s">
        <v>47</v>
      </c>
      <c r="T381" t="s">
        <v>1136</v>
      </c>
    </row>
    <row r="382" spans="1:20" x14ac:dyDescent="0.25">
      <c r="A382" t="s">
        <v>1134</v>
      </c>
      <c r="B382" t="s">
        <v>23</v>
      </c>
      <c r="C382" t="s">
        <v>24</v>
      </c>
      <c r="D382" t="s">
        <v>479</v>
      </c>
      <c r="E382" t="s">
        <v>468</v>
      </c>
      <c r="F382" t="s">
        <v>394</v>
      </c>
      <c r="G382" t="s">
        <v>395</v>
      </c>
      <c r="H382" t="s">
        <v>396</v>
      </c>
      <c r="I382" t="s">
        <v>397</v>
      </c>
      <c r="J382" t="s">
        <v>224</v>
      </c>
      <c r="K382" t="s">
        <v>223</v>
      </c>
      <c r="L382" t="s">
        <v>223</v>
      </c>
      <c r="M382" t="s">
        <v>212</v>
      </c>
      <c r="N382" t="s">
        <v>1137</v>
      </c>
      <c r="O382" t="s">
        <v>28</v>
      </c>
      <c r="P382" t="s">
        <v>28</v>
      </c>
      <c r="Q382" t="s">
        <v>395</v>
      </c>
      <c r="R382" t="s">
        <v>1135</v>
      </c>
      <c r="S382" t="s">
        <v>47</v>
      </c>
      <c r="T382" t="s">
        <v>1136</v>
      </c>
    </row>
    <row r="383" spans="1:20" x14ac:dyDescent="0.25">
      <c r="A383" t="s">
        <v>1138</v>
      </c>
      <c r="B383" t="s">
        <v>23</v>
      </c>
      <c r="C383" t="s">
        <v>38</v>
      </c>
      <c r="D383" t="s">
        <v>479</v>
      </c>
      <c r="E383" t="s">
        <v>1139</v>
      </c>
      <c r="F383" t="s">
        <v>264</v>
      </c>
      <c r="G383" t="s">
        <v>158</v>
      </c>
      <c r="H383" t="s">
        <v>265</v>
      </c>
      <c r="I383" t="s">
        <v>159</v>
      </c>
      <c r="J383" t="s">
        <v>230</v>
      </c>
      <c r="K383" t="s">
        <v>221</v>
      </c>
      <c r="L383" t="s">
        <v>221</v>
      </c>
      <c r="M383" t="s">
        <v>212</v>
      </c>
      <c r="N383" t="s">
        <v>213</v>
      </c>
      <c r="O383" t="s">
        <v>28</v>
      </c>
      <c r="P383" t="s">
        <v>28</v>
      </c>
      <c r="Q383" t="s">
        <v>158</v>
      </c>
      <c r="R383" t="s">
        <v>1140</v>
      </c>
      <c r="S383" t="s">
        <v>47</v>
      </c>
      <c r="T383" t="s">
        <v>1141</v>
      </c>
    </row>
    <row r="384" spans="1:20" x14ac:dyDescent="0.25">
      <c r="A384" t="s">
        <v>1142</v>
      </c>
      <c r="B384" t="s">
        <v>23</v>
      </c>
      <c r="C384" t="s">
        <v>24</v>
      </c>
      <c r="D384" t="s">
        <v>479</v>
      </c>
      <c r="E384" t="s">
        <v>1143</v>
      </c>
      <c r="F384" t="s">
        <v>1144</v>
      </c>
      <c r="G384" t="s">
        <v>1145</v>
      </c>
      <c r="H384" t="s">
        <v>1146</v>
      </c>
      <c r="I384" t="s">
        <v>1147</v>
      </c>
      <c r="J384" t="s">
        <v>224</v>
      </c>
      <c r="K384" t="s">
        <v>223</v>
      </c>
      <c r="L384" t="s">
        <v>223</v>
      </c>
      <c r="M384" t="s">
        <v>212</v>
      </c>
      <c r="N384" t="s">
        <v>213</v>
      </c>
      <c r="O384" t="s">
        <v>28</v>
      </c>
      <c r="P384" t="s">
        <v>28</v>
      </c>
      <c r="Q384" t="s">
        <v>1147</v>
      </c>
      <c r="R384" t="s">
        <v>1148</v>
      </c>
      <c r="S384" t="s">
        <v>47</v>
      </c>
      <c r="T384" t="s">
        <v>1149</v>
      </c>
    </row>
    <row r="385" spans="1:20" x14ac:dyDescent="0.25">
      <c r="A385" t="s">
        <v>1150</v>
      </c>
      <c r="B385" t="s">
        <v>23</v>
      </c>
      <c r="C385" t="s">
        <v>24</v>
      </c>
      <c r="D385" t="s">
        <v>479</v>
      </c>
      <c r="E385" t="s">
        <v>426</v>
      </c>
      <c r="F385" t="s">
        <v>427</v>
      </c>
      <c r="G385" t="s">
        <v>428</v>
      </c>
      <c r="H385" t="s">
        <v>429</v>
      </c>
      <c r="I385" t="s">
        <v>430</v>
      </c>
      <c r="J385" t="s">
        <v>230</v>
      </c>
      <c r="K385" t="s">
        <v>239</v>
      </c>
      <c r="L385" t="s">
        <v>239</v>
      </c>
      <c r="M385" t="s">
        <v>212</v>
      </c>
      <c r="N385" t="s">
        <v>213</v>
      </c>
      <c r="O385" t="s">
        <v>28</v>
      </c>
      <c r="P385" t="s">
        <v>28</v>
      </c>
      <c r="Q385" t="s">
        <v>428</v>
      </c>
      <c r="R385" t="s">
        <v>1151</v>
      </c>
      <c r="S385" t="s">
        <v>47</v>
      </c>
      <c r="T385" t="s">
        <v>1152</v>
      </c>
    </row>
    <row r="386" spans="1:20" x14ac:dyDescent="0.25">
      <c r="A386" t="s">
        <v>1150</v>
      </c>
      <c r="B386" t="s">
        <v>23</v>
      </c>
      <c r="C386" t="s">
        <v>24</v>
      </c>
      <c r="D386" t="s">
        <v>479</v>
      </c>
      <c r="E386" t="s">
        <v>426</v>
      </c>
      <c r="F386" t="s">
        <v>427</v>
      </c>
      <c r="G386" t="s">
        <v>428</v>
      </c>
      <c r="H386" t="s">
        <v>429</v>
      </c>
      <c r="I386" t="s">
        <v>430</v>
      </c>
      <c r="J386" t="s">
        <v>403</v>
      </c>
      <c r="K386" t="s">
        <v>254</v>
      </c>
      <c r="L386" t="s">
        <v>254</v>
      </c>
      <c r="M386" t="s">
        <v>212</v>
      </c>
      <c r="N386" t="s">
        <v>213</v>
      </c>
      <c r="O386" t="s">
        <v>28</v>
      </c>
      <c r="P386" t="s">
        <v>28</v>
      </c>
      <c r="Q386" t="s">
        <v>428</v>
      </c>
      <c r="R386" t="s">
        <v>1151</v>
      </c>
      <c r="S386" t="s">
        <v>47</v>
      </c>
      <c r="T386" t="s">
        <v>1152</v>
      </c>
    </row>
    <row r="387" spans="1:20" x14ac:dyDescent="0.25">
      <c r="A387" t="s">
        <v>1153</v>
      </c>
      <c r="B387" t="s">
        <v>23</v>
      </c>
      <c r="C387" t="s">
        <v>24</v>
      </c>
      <c r="D387" t="s">
        <v>479</v>
      </c>
      <c r="E387" t="s">
        <v>25</v>
      </c>
      <c r="F387" t="s">
        <v>208</v>
      </c>
      <c r="G387" t="s">
        <v>26</v>
      </c>
      <c r="H387" t="s">
        <v>209</v>
      </c>
      <c r="I387" t="s">
        <v>27</v>
      </c>
      <c r="J387" t="s">
        <v>230</v>
      </c>
      <c r="K387" t="s">
        <v>221</v>
      </c>
      <c r="L387" t="s">
        <v>221</v>
      </c>
      <c r="M387" t="s">
        <v>212</v>
      </c>
      <c r="N387" t="s">
        <v>213</v>
      </c>
      <c r="O387" t="s">
        <v>28</v>
      </c>
      <c r="P387" t="s">
        <v>28</v>
      </c>
      <c r="Q387" t="s">
        <v>27</v>
      </c>
      <c r="R387" t="s">
        <v>1154</v>
      </c>
      <c r="S387" t="s">
        <v>47</v>
      </c>
      <c r="T387" t="s">
        <v>1155</v>
      </c>
    </row>
    <row r="388" spans="1:20" x14ac:dyDescent="0.25">
      <c r="A388" t="s">
        <v>1153</v>
      </c>
      <c r="B388" t="s">
        <v>23</v>
      </c>
      <c r="C388" t="s">
        <v>24</v>
      </c>
      <c r="D388" t="s">
        <v>479</v>
      </c>
      <c r="E388" t="s">
        <v>25</v>
      </c>
      <c r="F388" t="s">
        <v>208</v>
      </c>
      <c r="G388" t="s">
        <v>26</v>
      </c>
      <c r="H388" t="s">
        <v>209</v>
      </c>
      <c r="I388" t="s">
        <v>27</v>
      </c>
      <c r="J388" t="s">
        <v>222</v>
      </c>
      <c r="K388" t="s">
        <v>237</v>
      </c>
      <c r="L388" t="s">
        <v>237</v>
      </c>
      <c r="M388" t="s">
        <v>212</v>
      </c>
      <c r="N388" t="s">
        <v>213</v>
      </c>
      <c r="O388" t="s">
        <v>28</v>
      </c>
      <c r="P388" t="s">
        <v>28</v>
      </c>
      <c r="Q388" t="s">
        <v>27</v>
      </c>
      <c r="R388" t="s">
        <v>1154</v>
      </c>
      <c r="S388" t="s">
        <v>47</v>
      </c>
      <c r="T388" t="s">
        <v>1155</v>
      </c>
    </row>
    <row r="389" spans="1:20" x14ac:dyDescent="0.25">
      <c r="A389" t="s">
        <v>1153</v>
      </c>
      <c r="B389" t="s">
        <v>23</v>
      </c>
      <c r="C389" t="s">
        <v>24</v>
      </c>
      <c r="D389" t="s">
        <v>479</v>
      </c>
      <c r="E389" t="s">
        <v>25</v>
      </c>
      <c r="F389" t="s">
        <v>208</v>
      </c>
      <c r="G389" t="s">
        <v>26</v>
      </c>
      <c r="H389" t="s">
        <v>209</v>
      </c>
      <c r="I389" t="s">
        <v>27</v>
      </c>
      <c r="J389" t="s">
        <v>224</v>
      </c>
      <c r="K389" t="s">
        <v>223</v>
      </c>
      <c r="L389" t="s">
        <v>223</v>
      </c>
      <c r="M389" t="s">
        <v>212</v>
      </c>
      <c r="N389" t="s">
        <v>213</v>
      </c>
      <c r="O389" t="s">
        <v>28</v>
      </c>
      <c r="P389" t="s">
        <v>28</v>
      </c>
      <c r="Q389" t="s">
        <v>27</v>
      </c>
      <c r="R389" t="s">
        <v>1154</v>
      </c>
      <c r="S389" t="s">
        <v>47</v>
      </c>
      <c r="T389" t="s">
        <v>1155</v>
      </c>
    </row>
    <row r="390" spans="1:20" x14ac:dyDescent="0.25">
      <c r="A390" t="s">
        <v>1156</v>
      </c>
      <c r="B390" t="s">
        <v>23</v>
      </c>
      <c r="C390" t="s">
        <v>24</v>
      </c>
      <c r="D390" t="s">
        <v>479</v>
      </c>
      <c r="E390" t="s">
        <v>4</v>
      </c>
      <c r="F390" t="s">
        <v>248</v>
      </c>
      <c r="G390" t="s">
        <v>99</v>
      </c>
      <c r="H390" t="s">
        <v>249</v>
      </c>
      <c r="I390" t="s">
        <v>100</v>
      </c>
      <c r="J390" t="s">
        <v>274</v>
      </c>
      <c r="K390" t="s">
        <v>237</v>
      </c>
      <c r="L390" t="s">
        <v>237</v>
      </c>
      <c r="M390" t="s">
        <v>212</v>
      </c>
      <c r="N390" t="s">
        <v>213</v>
      </c>
      <c r="O390" t="s">
        <v>28</v>
      </c>
      <c r="P390" t="s">
        <v>28</v>
      </c>
      <c r="Q390" t="s">
        <v>99</v>
      </c>
      <c r="R390" t="s">
        <v>1157</v>
      </c>
      <c r="S390" t="s">
        <v>47</v>
      </c>
      <c r="T390" t="s">
        <v>1158</v>
      </c>
    </row>
    <row r="391" spans="1:20" x14ac:dyDescent="0.25">
      <c r="A391" t="s">
        <v>1156</v>
      </c>
      <c r="B391" t="s">
        <v>23</v>
      </c>
      <c r="C391" t="s">
        <v>24</v>
      </c>
      <c r="D391" t="s">
        <v>479</v>
      </c>
      <c r="E391" t="s">
        <v>4</v>
      </c>
      <c r="F391" t="s">
        <v>248</v>
      </c>
      <c r="G391" t="s">
        <v>99</v>
      </c>
      <c r="H391" t="s">
        <v>249</v>
      </c>
      <c r="I391" t="s">
        <v>100</v>
      </c>
      <c r="J391" t="s">
        <v>224</v>
      </c>
      <c r="K391" t="s">
        <v>223</v>
      </c>
      <c r="L391" t="s">
        <v>223</v>
      </c>
      <c r="M391" t="s">
        <v>212</v>
      </c>
      <c r="N391" t="s">
        <v>213</v>
      </c>
      <c r="O391" t="s">
        <v>28</v>
      </c>
      <c r="P391" t="s">
        <v>28</v>
      </c>
      <c r="Q391" t="s">
        <v>99</v>
      </c>
      <c r="R391" t="s">
        <v>1157</v>
      </c>
      <c r="S391" t="s">
        <v>47</v>
      </c>
      <c r="T391" t="s">
        <v>1158</v>
      </c>
    </row>
    <row r="392" spans="1:20" x14ac:dyDescent="0.25">
      <c r="A392" t="s">
        <v>1156</v>
      </c>
      <c r="B392" t="s">
        <v>23</v>
      </c>
      <c r="C392" t="s">
        <v>24</v>
      </c>
      <c r="D392" t="s">
        <v>479</v>
      </c>
      <c r="E392" t="s">
        <v>4</v>
      </c>
      <c r="F392" t="s">
        <v>248</v>
      </c>
      <c r="G392" t="s">
        <v>99</v>
      </c>
      <c r="H392" t="s">
        <v>249</v>
      </c>
      <c r="I392" t="s">
        <v>100</v>
      </c>
      <c r="J392" t="s">
        <v>222</v>
      </c>
      <c r="K392" t="s">
        <v>237</v>
      </c>
      <c r="L392" t="s">
        <v>237</v>
      </c>
      <c r="M392" t="s">
        <v>212</v>
      </c>
      <c r="N392" t="s">
        <v>213</v>
      </c>
      <c r="O392" t="s">
        <v>28</v>
      </c>
      <c r="P392" t="s">
        <v>28</v>
      </c>
      <c r="Q392" t="s">
        <v>99</v>
      </c>
      <c r="R392" t="s">
        <v>1157</v>
      </c>
      <c r="S392" t="s">
        <v>47</v>
      </c>
      <c r="T392" t="s">
        <v>1158</v>
      </c>
    </row>
    <row r="393" spans="1:20" x14ac:dyDescent="0.25">
      <c r="A393" t="s">
        <v>1159</v>
      </c>
      <c r="B393" t="s">
        <v>23</v>
      </c>
      <c r="C393" t="s">
        <v>24</v>
      </c>
      <c r="D393" t="s">
        <v>479</v>
      </c>
      <c r="E393" t="s">
        <v>104</v>
      </c>
      <c r="F393" t="s">
        <v>317</v>
      </c>
      <c r="G393" t="s">
        <v>105</v>
      </c>
      <c r="H393" t="s">
        <v>1087</v>
      </c>
      <c r="I393" t="s">
        <v>1088</v>
      </c>
      <c r="J393" t="s">
        <v>257</v>
      </c>
      <c r="K393" t="s">
        <v>221</v>
      </c>
      <c r="L393" t="s">
        <v>221</v>
      </c>
      <c r="M393" t="s">
        <v>212</v>
      </c>
      <c r="N393" t="s">
        <v>213</v>
      </c>
      <c r="O393" t="s">
        <v>28</v>
      </c>
      <c r="P393" t="s">
        <v>28</v>
      </c>
      <c r="Q393" t="s">
        <v>105</v>
      </c>
      <c r="R393" t="s">
        <v>1160</v>
      </c>
      <c r="S393" t="s">
        <v>47</v>
      </c>
      <c r="T393" t="s">
        <v>1161</v>
      </c>
    </row>
    <row r="394" spans="1:20" x14ac:dyDescent="0.25">
      <c r="A394" t="s">
        <v>1159</v>
      </c>
      <c r="B394" t="s">
        <v>23</v>
      </c>
      <c r="C394" t="s">
        <v>24</v>
      </c>
      <c r="D394" t="s">
        <v>479</v>
      </c>
      <c r="E394" t="s">
        <v>104</v>
      </c>
      <c r="F394" t="s">
        <v>317</v>
      </c>
      <c r="G394" t="s">
        <v>105</v>
      </c>
      <c r="H394" t="s">
        <v>1087</v>
      </c>
      <c r="I394" t="s">
        <v>1088</v>
      </c>
      <c r="J394" t="s">
        <v>230</v>
      </c>
      <c r="K394" t="s">
        <v>231</v>
      </c>
      <c r="L394" t="s">
        <v>231</v>
      </c>
      <c r="M394" t="s">
        <v>212</v>
      </c>
      <c r="N394" t="s">
        <v>213</v>
      </c>
      <c r="O394" t="s">
        <v>28</v>
      </c>
      <c r="P394" t="s">
        <v>28</v>
      </c>
      <c r="Q394" t="s">
        <v>105</v>
      </c>
      <c r="R394" t="s">
        <v>1160</v>
      </c>
      <c r="S394" t="s">
        <v>47</v>
      </c>
      <c r="T394" t="s">
        <v>1161</v>
      </c>
    </row>
    <row r="395" spans="1:20" x14ac:dyDescent="0.25">
      <c r="A395" t="s">
        <v>1159</v>
      </c>
      <c r="B395" t="s">
        <v>23</v>
      </c>
      <c r="C395" t="s">
        <v>24</v>
      </c>
      <c r="D395" t="s">
        <v>479</v>
      </c>
      <c r="E395" t="s">
        <v>104</v>
      </c>
      <c r="F395" t="s">
        <v>317</v>
      </c>
      <c r="G395" t="s">
        <v>105</v>
      </c>
      <c r="H395" t="s">
        <v>1087</v>
      </c>
      <c r="I395" t="s">
        <v>1088</v>
      </c>
      <c r="J395" t="s">
        <v>224</v>
      </c>
      <c r="K395" t="s">
        <v>223</v>
      </c>
      <c r="L395" t="s">
        <v>223</v>
      </c>
      <c r="M395" t="s">
        <v>212</v>
      </c>
      <c r="N395" t="s">
        <v>213</v>
      </c>
      <c r="O395" t="s">
        <v>28</v>
      </c>
      <c r="P395" t="s">
        <v>28</v>
      </c>
      <c r="Q395" t="s">
        <v>105</v>
      </c>
      <c r="R395" t="s">
        <v>1160</v>
      </c>
      <c r="S395" t="s">
        <v>47</v>
      </c>
      <c r="T395" t="s">
        <v>1161</v>
      </c>
    </row>
    <row r="396" spans="1:20" x14ac:dyDescent="0.25">
      <c r="A396" t="s">
        <v>1162</v>
      </c>
      <c r="B396" t="s">
        <v>23</v>
      </c>
      <c r="C396" t="s">
        <v>24</v>
      </c>
      <c r="D396" t="s">
        <v>479</v>
      </c>
      <c r="E396" t="s">
        <v>101</v>
      </c>
      <c r="F396" t="s">
        <v>345</v>
      </c>
      <c r="G396" t="s">
        <v>102</v>
      </c>
      <c r="H396" t="s">
        <v>346</v>
      </c>
      <c r="I396" t="s">
        <v>103</v>
      </c>
      <c r="J396" t="s">
        <v>312</v>
      </c>
      <c r="K396" t="s">
        <v>239</v>
      </c>
      <c r="L396" t="s">
        <v>239</v>
      </c>
      <c r="M396" t="s">
        <v>212</v>
      </c>
      <c r="N396" t="s">
        <v>213</v>
      </c>
      <c r="O396" t="s">
        <v>28</v>
      </c>
      <c r="P396" t="s">
        <v>28</v>
      </c>
      <c r="Q396" t="s">
        <v>102</v>
      </c>
      <c r="R396" t="s">
        <v>1163</v>
      </c>
      <c r="S396" t="s">
        <v>695</v>
      </c>
      <c r="T396" t="s">
        <v>1164</v>
      </c>
    </row>
    <row r="397" spans="1:20" x14ac:dyDescent="0.25">
      <c r="A397" t="s">
        <v>1165</v>
      </c>
      <c r="B397" t="s">
        <v>23</v>
      </c>
      <c r="C397" t="s">
        <v>24</v>
      </c>
      <c r="D397" t="s">
        <v>479</v>
      </c>
      <c r="E397" t="s">
        <v>160</v>
      </c>
      <c r="F397" t="s">
        <v>282</v>
      </c>
      <c r="G397" t="s">
        <v>129</v>
      </c>
      <c r="H397" t="s">
        <v>283</v>
      </c>
      <c r="I397" t="s">
        <v>130</v>
      </c>
      <c r="J397" t="s">
        <v>230</v>
      </c>
      <c r="K397" t="s">
        <v>239</v>
      </c>
      <c r="L397" t="s">
        <v>239</v>
      </c>
      <c r="M397" t="s">
        <v>212</v>
      </c>
      <c r="N397" t="s">
        <v>213</v>
      </c>
      <c r="O397" t="s">
        <v>28</v>
      </c>
      <c r="P397" t="s">
        <v>28</v>
      </c>
      <c r="Q397" t="s">
        <v>129</v>
      </c>
      <c r="R397" t="s">
        <v>1166</v>
      </c>
      <c r="S397" t="s">
        <v>47</v>
      </c>
      <c r="T397" t="s">
        <v>1167</v>
      </c>
    </row>
    <row r="398" spans="1:20" x14ac:dyDescent="0.25">
      <c r="A398" t="s">
        <v>1165</v>
      </c>
      <c r="B398" t="s">
        <v>23</v>
      </c>
      <c r="C398" t="s">
        <v>24</v>
      </c>
      <c r="D398" t="s">
        <v>479</v>
      </c>
      <c r="E398" t="s">
        <v>160</v>
      </c>
      <c r="F398" t="s">
        <v>282</v>
      </c>
      <c r="G398" t="s">
        <v>129</v>
      </c>
      <c r="H398" t="s">
        <v>283</v>
      </c>
      <c r="I398" t="s">
        <v>130</v>
      </c>
      <c r="J398" t="s">
        <v>312</v>
      </c>
      <c r="K398" t="s">
        <v>239</v>
      </c>
      <c r="L398" t="s">
        <v>239</v>
      </c>
      <c r="M398" t="s">
        <v>212</v>
      </c>
      <c r="N398" t="s">
        <v>213</v>
      </c>
      <c r="O398" t="s">
        <v>28</v>
      </c>
      <c r="P398" t="s">
        <v>28</v>
      </c>
      <c r="Q398" t="s">
        <v>129</v>
      </c>
      <c r="R398" t="s">
        <v>1166</v>
      </c>
      <c r="S398" t="s">
        <v>47</v>
      </c>
      <c r="T398" t="s">
        <v>1167</v>
      </c>
    </row>
    <row r="399" spans="1:20" x14ac:dyDescent="0.25">
      <c r="A399" t="s">
        <v>1165</v>
      </c>
      <c r="B399" t="s">
        <v>23</v>
      </c>
      <c r="C399" t="s">
        <v>24</v>
      </c>
      <c r="D399" t="s">
        <v>479</v>
      </c>
      <c r="E399" t="s">
        <v>160</v>
      </c>
      <c r="F399" t="s">
        <v>282</v>
      </c>
      <c r="G399" t="s">
        <v>129</v>
      </c>
      <c r="H399" t="s">
        <v>283</v>
      </c>
      <c r="I399" t="s">
        <v>130</v>
      </c>
      <c r="J399" t="s">
        <v>224</v>
      </c>
      <c r="K399" t="s">
        <v>223</v>
      </c>
      <c r="L399" t="s">
        <v>223</v>
      </c>
      <c r="M399" t="s">
        <v>212</v>
      </c>
      <c r="N399" t="s">
        <v>213</v>
      </c>
      <c r="O399" t="s">
        <v>28</v>
      </c>
      <c r="P399" t="s">
        <v>28</v>
      </c>
      <c r="Q399" t="s">
        <v>129</v>
      </c>
      <c r="R399" t="s">
        <v>1166</v>
      </c>
      <c r="S399" t="s">
        <v>47</v>
      </c>
      <c r="T399" t="s">
        <v>1167</v>
      </c>
    </row>
    <row r="400" spans="1:20" x14ac:dyDescent="0.25">
      <c r="A400" t="s">
        <v>1168</v>
      </c>
      <c r="B400" t="s">
        <v>23</v>
      </c>
      <c r="C400" t="s">
        <v>37</v>
      </c>
      <c r="D400" t="s">
        <v>479</v>
      </c>
      <c r="E400" t="s">
        <v>113</v>
      </c>
      <c r="F400" t="s">
        <v>327</v>
      </c>
      <c r="G400" t="s">
        <v>114</v>
      </c>
      <c r="H400" t="s">
        <v>328</v>
      </c>
      <c r="I400" t="s">
        <v>115</v>
      </c>
      <c r="J400" t="s">
        <v>230</v>
      </c>
      <c r="K400" t="s">
        <v>285</v>
      </c>
      <c r="L400" t="s">
        <v>285</v>
      </c>
      <c r="M400" t="s">
        <v>212</v>
      </c>
      <c r="N400" t="s">
        <v>213</v>
      </c>
      <c r="O400" t="s">
        <v>28</v>
      </c>
      <c r="P400" t="s">
        <v>28</v>
      </c>
      <c r="Q400" t="s">
        <v>114</v>
      </c>
      <c r="R400" t="s">
        <v>1169</v>
      </c>
      <c r="S400" t="s">
        <v>47</v>
      </c>
      <c r="T400" t="s">
        <v>1170</v>
      </c>
    </row>
    <row r="401" spans="1:20" x14ac:dyDescent="0.25">
      <c r="A401" t="s">
        <v>1171</v>
      </c>
      <c r="B401" t="s">
        <v>23</v>
      </c>
      <c r="C401" t="s">
        <v>38</v>
      </c>
      <c r="D401" t="s">
        <v>479</v>
      </c>
      <c r="E401" t="s">
        <v>44</v>
      </c>
      <c r="F401" t="s">
        <v>343</v>
      </c>
      <c r="G401" t="s">
        <v>45</v>
      </c>
      <c r="H401" t="s">
        <v>342</v>
      </c>
      <c r="I401" t="s">
        <v>46</v>
      </c>
      <c r="J401" t="s">
        <v>274</v>
      </c>
      <c r="K401" t="s">
        <v>237</v>
      </c>
      <c r="L401" t="s">
        <v>237</v>
      </c>
      <c r="M401" t="s">
        <v>212</v>
      </c>
      <c r="N401" t="s">
        <v>213</v>
      </c>
      <c r="O401" t="s">
        <v>28</v>
      </c>
      <c r="P401" t="s">
        <v>28</v>
      </c>
      <c r="Q401" t="s">
        <v>45</v>
      </c>
      <c r="R401" t="s">
        <v>1172</v>
      </c>
      <c r="S401" t="s">
        <v>47</v>
      </c>
      <c r="T401" t="s">
        <v>1173</v>
      </c>
    </row>
    <row r="402" spans="1:20" x14ac:dyDescent="0.25">
      <c r="A402" t="s">
        <v>1171</v>
      </c>
      <c r="B402" t="s">
        <v>23</v>
      </c>
      <c r="C402" t="s">
        <v>38</v>
      </c>
      <c r="D402" t="s">
        <v>479</v>
      </c>
      <c r="E402" t="s">
        <v>44</v>
      </c>
      <c r="F402" t="s">
        <v>343</v>
      </c>
      <c r="G402" t="s">
        <v>45</v>
      </c>
      <c r="H402" t="s">
        <v>342</v>
      </c>
      <c r="I402" t="s">
        <v>46</v>
      </c>
      <c r="J402" t="s">
        <v>224</v>
      </c>
      <c r="K402" t="s">
        <v>223</v>
      </c>
      <c r="L402" t="s">
        <v>223</v>
      </c>
      <c r="M402" t="s">
        <v>212</v>
      </c>
      <c r="N402" t="s">
        <v>213</v>
      </c>
      <c r="O402" t="s">
        <v>28</v>
      </c>
      <c r="P402" t="s">
        <v>28</v>
      </c>
      <c r="Q402" t="s">
        <v>45</v>
      </c>
      <c r="R402" t="s">
        <v>1172</v>
      </c>
      <c r="S402" t="s">
        <v>47</v>
      </c>
      <c r="T402" t="s">
        <v>1173</v>
      </c>
    </row>
    <row r="403" spans="1:20" x14ac:dyDescent="0.25">
      <c r="A403" t="s">
        <v>1171</v>
      </c>
      <c r="B403" t="s">
        <v>23</v>
      </c>
      <c r="C403" t="s">
        <v>38</v>
      </c>
      <c r="D403" t="s">
        <v>479</v>
      </c>
      <c r="E403" t="s">
        <v>44</v>
      </c>
      <c r="F403" t="s">
        <v>343</v>
      </c>
      <c r="G403" t="s">
        <v>45</v>
      </c>
      <c r="H403" t="s">
        <v>342</v>
      </c>
      <c r="I403" t="s">
        <v>46</v>
      </c>
      <c r="J403" t="s">
        <v>222</v>
      </c>
      <c r="K403" t="s">
        <v>237</v>
      </c>
      <c r="L403" t="s">
        <v>237</v>
      </c>
      <c r="M403" t="s">
        <v>212</v>
      </c>
      <c r="N403" t="s">
        <v>213</v>
      </c>
      <c r="O403" t="s">
        <v>28</v>
      </c>
      <c r="P403" t="s">
        <v>28</v>
      </c>
      <c r="Q403" t="s">
        <v>45</v>
      </c>
      <c r="R403" t="s">
        <v>1172</v>
      </c>
      <c r="S403" t="s">
        <v>47</v>
      </c>
      <c r="T403" t="s">
        <v>1173</v>
      </c>
    </row>
    <row r="404" spans="1:20" x14ac:dyDescent="0.25">
      <c r="A404" t="s">
        <v>1174</v>
      </c>
      <c r="B404" t="s">
        <v>23</v>
      </c>
      <c r="C404" t="s">
        <v>24</v>
      </c>
      <c r="D404" t="s">
        <v>479</v>
      </c>
      <c r="E404" t="s">
        <v>476</v>
      </c>
      <c r="F404" t="s">
        <v>457</v>
      </c>
      <c r="G404" t="s">
        <v>458</v>
      </c>
      <c r="H404" t="s">
        <v>459</v>
      </c>
      <c r="I404" t="s">
        <v>460</v>
      </c>
      <c r="J404" t="s">
        <v>222</v>
      </c>
      <c r="K404" t="s">
        <v>237</v>
      </c>
      <c r="L404" t="s">
        <v>237</v>
      </c>
      <c r="M404" t="s">
        <v>212</v>
      </c>
      <c r="N404" t="s">
        <v>213</v>
      </c>
      <c r="O404" t="s">
        <v>28</v>
      </c>
      <c r="P404" t="s">
        <v>28</v>
      </c>
      <c r="Q404" t="s">
        <v>458</v>
      </c>
      <c r="R404" t="s">
        <v>1175</v>
      </c>
      <c r="S404" t="s">
        <v>33</v>
      </c>
      <c r="T404" t="s">
        <v>1176</v>
      </c>
    </row>
    <row r="405" spans="1:20" x14ac:dyDescent="0.25">
      <c r="A405" t="s">
        <v>1174</v>
      </c>
      <c r="B405" t="s">
        <v>23</v>
      </c>
      <c r="C405" t="s">
        <v>24</v>
      </c>
      <c r="D405" t="s">
        <v>479</v>
      </c>
      <c r="E405" t="s">
        <v>476</v>
      </c>
      <c r="F405" t="s">
        <v>457</v>
      </c>
      <c r="G405" t="s">
        <v>458</v>
      </c>
      <c r="H405" t="s">
        <v>459</v>
      </c>
      <c r="I405" t="s">
        <v>460</v>
      </c>
      <c r="J405" t="s">
        <v>224</v>
      </c>
      <c r="K405" t="s">
        <v>223</v>
      </c>
      <c r="L405" t="s">
        <v>223</v>
      </c>
      <c r="M405" t="s">
        <v>212</v>
      </c>
      <c r="N405" t="s">
        <v>213</v>
      </c>
      <c r="O405" t="s">
        <v>28</v>
      </c>
      <c r="P405" t="s">
        <v>28</v>
      </c>
      <c r="Q405" t="s">
        <v>458</v>
      </c>
      <c r="R405" t="s">
        <v>1175</v>
      </c>
      <c r="S405" t="s">
        <v>33</v>
      </c>
      <c r="T405" t="s">
        <v>1176</v>
      </c>
    </row>
    <row r="406" spans="1:20" x14ac:dyDescent="0.25">
      <c r="A406" t="s">
        <v>478</v>
      </c>
      <c r="B406" t="s">
        <v>23</v>
      </c>
      <c r="C406" t="s">
        <v>24</v>
      </c>
      <c r="D406" t="s">
        <v>479</v>
      </c>
      <c r="E406" t="s">
        <v>407</v>
      </c>
      <c r="F406" t="s">
        <v>331</v>
      </c>
      <c r="G406" t="s">
        <v>146</v>
      </c>
      <c r="H406" t="s">
        <v>332</v>
      </c>
      <c r="I406" t="s">
        <v>147</v>
      </c>
      <c r="J406" t="s">
        <v>253</v>
      </c>
      <c r="K406" t="s">
        <v>239</v>
      </c>
      <c r="L406" t="s">
        <v>239</v>
      </c>
      <c r="M406" t="s">
        <v>212</v>
      </c>
      <c r="N406" t="s">
        <v>213</v>
      </c>
      <c r="O406" t="s">
        <v>28</v>
      </c>
      <c r="P406" t="s">
        <v>28</v>
      </c>
      <c r="Q406" t="s">
        <v>146</v>
      </c>
      <c r="R406" t="s">
        <v>481</v>
      </c>
      <c r="S406" t="s">
        <v>47</v>
      </c>
      <c r="T406" t="s">
        <v>482</v>
      </c>
    </row>
    <row r="407" spans="1:20" x14ac:dyDescent="0.25">
      <c r="A407" t="s">
        <v>478</v>
      </c>
      <c r="B407" t="s">
        <v>23</v>
      </c>
      <c r="C407" t="s">
        <v>24</v>
      </c>
      <c r="D407" t="s">
        <v>479</v>
      </c>
      <c r="E407" t="s">
        <v>407</v>
      </c>
      <c r="F407" t="s">
        <v>331</v>
      </c>
      <c r="G407" t="s">
        <v>146</v>
      </c>
      <c r="H407" t="s">
        <v>332</v>
      </c>
      <c r="I407" t="s">
        <v>147</v>
      </c>
      <c r="J407" t="s">
        <v>222</v>
      </c>
      <c r="K407" t="s">
        <v>223</v>
      </c>
      <c r="L407" t="s">
        <v>237</v>
      </c>
      <c r="M407" t="s">
        <v>212</v>
      </c>
      <c r="N407" t="s">
        <v>213</v>
      </c>
      <c r="O407" t="s">
        <v>28</v>
      </c>
      <c r="P407" t="s">
        <v>28</v>
      </c>
      <c r="Q407" t="s">
        <v>146</v>
      </c>
      <c r="R407" t="s">
        <v>481</v>
      </c>
      <c r="S407" t="s">
        <v>47</v>
      </c>
      <c r="T407" t="s">
        <v>482</v>
      </c>
    </row>
    <row r="408" spans="1:20" x14ac:dyDescent="0.25">
      <c r="A408" t="s">
        <v>478</v>
      </c>
      <c r="B408" t="s">
        <v>23</v>
      </c>
      <c r="C408" t="s">
        <v>24</v>
      </c>
      <c r="D408" t="s">
        <v>479</v>
      </c>
      <c r="E408" t="s">
        <v>407</v>
      </c>
      <c r="F408" t="s">
        <v>331</v>
      </c>
      <c r="G408" t="s">
        <v>146</v>
      </c>
      <c r="H408" t="s">
        <v>332</v>
      </c>
      <c r="I408" t="s">
        <v>147</v>
      </c>
      <c r="J408" t="s">
        <v>257</v>
      </c>
      <c r="K408" t="s">
        <v>221</v>
      </c>
      <c r="L408" t="s">
        <v>221</v>
      </c>
      <c r="M408" t="s">
        <v>212</v>
      </c>
      <c r="N408" t="s">
        <v>213</v>
      </c>
      <c r="O408" t="s">
        <v>28</v>
      </c>
      <c r="P408" t="s">
        <v>28</v>
      </c>
      <c r="Q408" t="s">
        <v>146</v>
      </c>
      <c r="R408" t="s">
        <v>481</v>
      </c>
      <c r="S408" t="s">
        <v>47</v>
      </c>
      <c r="T408" t="s">
        <v>482</v>
      </c>
    </row>
    <row r="409" spans="1:20" x14ac:dyDescent="0.25">
      <c r="A409" t="s">
        <v>478</v>
      </c>
      <c r="B409" t="s">
        <v>23</v>
      </c>
      <c r="C409" t="s">
        <v>24</v>
      </c>
      <c r="D409" t="s">
        <v>479</v>
      </c>
      <c r="E409" t="s">
        <v>407</v>
      </c>
      <c r="F409" t="s">
        <v>331</v>
      </c>
      <c r="G409" t="s">
        <v>146</v>
      </c>
      <c r="H409" t="s">
        <v>332</v>
      </c>
      <c r="I409" t="s">
        <v>147</v>
      </c>
      <c r="J409" t="s">
        <v>230</v>
      </c>
      <c r="K409" t="s">
        <v>231</v>
      </c>
      <c r="L409" t="s">
        <v>1021</v>
      </c>
      <c r="M409" t="s">
        <v>212</v>
      </c>
      <c r="N409" t="s">
        <v>213</v>
      </c>
      <c r="O409" t="s">
        <v>28</v>
      </c>
      <c r="P409" t="s">
        <v>28</v>
      </c>
      <c r="Q409" t="s">
        <v>146</v>
      </c>
      <c r="R409" t="s">
        <v>481</v>
      </c>
      <c r="S409" t="s">
        <v>47</v>
      </c>
      <c r="T409" t="s">
        <v>482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E57A5-F436-4173-A209-4F8BD612B113}">
  <sheetPr codeName="Planilha3">
    <tabColor rgb="FF14B8A6"/>
  </sheetPr>
  <dimension ref="A1:K101"/>
  <sheetViews>
    <sheetView workbookViewId="0">
      <pane ySplit="4" topLeftCell="A5" activePane="bottomLeft" state="frozenSplit"/>
      <selection pane="bottomLeft" activeCell="A5" sqref="A5"/>
    </sheetView>
  </sheetViews>
  <sheetFormatPr defaultRowHeight="15" x14ac:dyDescent="0.25"/>
  <cols>
    <col min="1" max="1" width="14.42578125" bestFit="1" customWidth="1"/>
    <col min="2" max="3" width="20.85546875" bestFit="1" customWidth="1"/>
    <col min="4" max="4" width="10.7109375" bestFit="1" customWidth="1"/>
    <col min="5" max="5" width="16.7109375" customWidth="1"/>
    <col min="8" max="8" width="20.7109375" customWidth="1"/>
    <col min="9" max="9" width="14.7109375" customWidth="1"/>
  </cols>
  <sheetData>
    <row r="1" spans="1:11" ht="21" x14ac:dyDescent="0.35">
      <c r="A1" s="65" t="s">
        <v>174</v>
      </c>
      <c r="B1" s="66"/>
      <c r="C1" s="66"/>
      <c r="D1" s="66"/>
      <c r="E1" s="66"/>
      <c r="F1" s="66"/>
      <c r="H1" s="69" t="s">
        <v>176</v>
      </c>
      <c r="I1" s="66"/>
      <c r="J1" s="66"/>
      <c r="K1" s="66"/>
    </row>
    <row r="2" spans="1:11" x14ac:dyDescent="0.25">
      <c r="A2" s="67" t="s">
        <v>175</v>
      </c>
      <c r="B2" s="68"/>
      <c r="C2" s="68"/>
      <c r="D2" s="68"/>
      <c r="E2" s="68"/>
      <c r="F2" s="68"/>
      <c r="H2" s="12" t="s">
        <v>1</v>
      </c>
      <c r="I2" s="16">
        <f>Dashboard!D8</f>
        <v>54</v>
      </c>
    </row>
    <row r="3" spans="1:11" x14ac:dyDescent="0.25">
      <c r="A3" s="7" t="s">
        <v>16</v>
      </c>
      <c r="B3" t="s">
        <v>28</v>
      </c>
      <c r="H3" s="12" t="s">
        <v>177</v>
      </c>
      <c r="I3" s="16">
        <f>Dashboard!M8</f>
        <v>105</v>
      </c>
    </row>
    <row r="4" spans="1:11" x14ac:dyDescent="0.25">
      <c r="H4" s="12" t="s">
        <v>173</v>
      </c>
      <c r="I4" s="16">
        <f>Dashboard!A8</f>
        <v>159</v>
      </c>
    </row>
    <row r="5" spans="1:11" x14ac:dyDescent="0.25">
      <c r="A5" s="7" t="s">
        <v>170</v>
      </c>
      <c r="B5" s="7" t="s">
        <v>22</v>
      </c>
    </row>
    <row r="6" spans="1:11" x14ac:dyDescent="0.25">
      <c r="A6" s="7" t="s">
        <v>0</v>
      </c>
      <c r="B6" t="s">
        <v>29</v>
      </c>
      <c r="C6" t="s">
        <v>30</v>
      </c>
      <c r="D6" t="s">
        <v>169</v>
      </c>
    </row>
    <row r="7" spans="1:11" x14ac:dyDescent="0.25">
      <c r="A7" t="s">
        <v>62</v>
      </c>
      <c r="B7" s="70">
        <v>1</v>
      </c>
      <c r="C7" s="70"/>
      <c r="D7" s="70">
        <v>1</v>
      </c>
    </row>
    <row r="8" spans="1:11" x14ac:dyDescent="0.25">
      <c r="A8" t="s">
        <v>165</v>
      </c>
      <c r="B8" s="70"/>
      <c r="C8" s="70">
        <v>2</v>
      </c>
      <c r="D8" s="70">
        <v>2</v>
      </c>
    </row>
    <row r="9" spans="1:11" x14ac:dyDescent="0.25">
      <c r="A9" t="s">
        <v>113</v>
      </c>
      <c r="B9" s="70"/>
      <c r="C9" s="70">
        <v>2</v>
      </c>
      <c r="D9" s="70">
        <v>2</v>
      </c>
    </row>
    <row r="10" spans="1:11" x14ac:dyDescent="0.25">
      <c r="A10" t="s">
        <v>44</v>
      </c>
      <c r="B10" s="70"/>
      <c r="C10" s="70">
        <v>1</v>
      </c>
      <c r="D10" s="70">
        <v>1</v>
      </c>
    </row>
    <row r="11" spans="1:11" x14ac:dyDescent="0.25">
      <c r="A11" t="s">
        <v>126</v>
      </c>
      <c r="B11" s="70">
        <v>2</v>
      </c>
      <c r="C11" s="70">
        <v>1</v>
      </c>
      <c r="D11" s="70">
        <v>3</v>
      </c>
    </row>
    <row r="12" spans="1:11" x14ac:dyDescent="0.25">
      <c r="A12" t="s">
        <v>154</v>
      </c>
      <c r="B12" s="70"/>
      <c r="C12" s="70">
        <v>1</v>
      </c>
      <c r="D12" s="70">
        <v>1</v>
      </c>
    </row>
    <row r="13" spans="1:11" x14ac:dyDescent="0.25">
      <c r="A13" t="s">
        <v>116</v>
      </c>
      <c r="B13" s="70"/>
      <c r="C13" s="70">
        <v>2</v>
      </c>
      <c r="D13" s="70">
        <v>2</v>
      </c>
    </row>
    <row r="14" spans="1:11" x14ac:dyDescent="0.25">
      <c r="A14" t="s">
        <v>1276</v>
      </c>
      <c r="B14" s="70"/>
      <c r="C14" s="70">
        <v>1</v>
      </c>
      <c r="D14" s="70">
        <v>1</v>
      </c>
    </row>
    <row r="15" spans="1:11" x14ac:dyDescent="0.25">
      <c r="A15" t="s">
        <v>157</v>
      </c>
      <c r="B15" s="70"/>
      <c r="C15" s="70">
        <v>1</v>
      </c>
      <c r="D15" s="70">
        <v>1</v>
      </c>
    </row>
    <row r="16" spans="1:11" x14ac:dyDescent="0.25">
      <c r="A16" t="s">
        <v>72</v>
      </c>
      <c r="B16" s="70">
        <v>1</v>
      </c>
      <c r="C16" s="70"/>
      <c r="D16" s="70">
        <v>1</v>
      </c>
    </row>
    <row r="17" spans="1:4" x14ac:dyDescent="0.25">
      <c r="A17" t="s">
        <v>1079</v>
      </c>
      <c r="B17" s="70">
        <v>1</v>
      </c>
      <c r="C17" s="70"/>
      <c r="D17" s="70">
        <v>1</v>
      </c>
    </row>
    <row r="18" spans="1:4" x14ac:dyDescent="0.25">
      <c r="A18" t="s">
        <v>135</v>
      </c>
      <c r="B18" s="70"/>
      <c r="C18" s="70">
        <v>1</v>
      </c>
      <c r="D18" s="70">
        <v>1</v>
      </c>
    </row>
    <row r="19" spans="1:4" x14ac:dyDescent="0.25">
      <c r="A19" t="s">
        <v>1189</v>
      </c>
      <c r="B19" s="70"/>
      <c r="C19" s="70">
        <v>1</v>
      </c>
      <c r="D19" s="70">
        <v>1</v>
      </c>
    </row>
    <row r="20" spans="1:4" x14ac:dyDescent="0.25">
      <c r="A20" t="s">
        <v>3</v>
      </c>
      <c r="B20" s="70"/>
      <c r="C20" s="70">
        <v>1</v>
      </c>
      <c r="D20" s="70">
        <v>1</v>
      </c>
    </row>
    <row r="21" spans="1:4" x14ac:dyDescent="0.25">
      <c r="A21" t="s">
        <v>148</v>
      </c>
      <c r="B21" s="70"/>
      <c r="C21" s="70">
        <v>1</v>
      </c>
      <c r="D21" s="70">
        <v>1</v>
      </c>
    </row>
    <row r="22" spans="1:4" x14ac:dyDescent="0.25">
      <c r="A22" t="s">
        <v>161</v>
      </c>
      <c r="B22" s="70">
        <v>1</v>
      </c>
      <c r="C22" s="70">
        <v>1</v>
      </c>
      <c r="D22" s="70">
        <v>2</v>
      </c>
    </row>
    <row r="23" spans="1:4" x14ac:dyDescent="0.25">
      <c r="A23" t="s">
        <v>140</v>
      </c>
      <c r="B23" s="70">
        <v>1</v>
      </c>
      <c r="C23" s="70">
        <v>2</v>
      </c>
      <c r="D23" s="70">
        <v>3</v>
      </c>
    </row>
    <row r="24" spans="1:4" x14ac:dyDescent="0.25">
      <c r="A24" t="s">
        <v>160</v>
      </c>
      <c r="B24" s="70">
        <v>3</v>
      </c>
      <c r="C24" s="70">
        <v>1</v>
      </c>
      <c r="D24" s="70">
        <v>4</v>
      </c>
    </row>
    <row r="25" spans="1:4" x14ac:dyDescent="0.25">
      <c r="A25" t="s">
        <v>1193</v>
      </c>
      <c r="B25" s="70"/>
      <c r="C25" s="70">
        <v>3</v>
      </c>
      <c r="D25" s="70">
        <v>3</v>
      </c>
    </row>
    <row r="26" spans="1:4" x14ac:dyDescent="0.25">
      <c r="A26" t="s">
        <v>133</v>
      </c>
      <c r="B26" s="70"/>
      <c r="C26" s="70">
        <v>3</v>
      </c>
      <c r="D26" s="70">
        <v>3</v>
      </c>
    </row>
    <row r="27" spans="1:4" x14ac:dyDescent="0.25">
      <c r="A27" t="s">
        <v>58</v>
      </c>
      <c r="B27" s="70"/>
      <c r="C27" s="70">
        <v>4</v>
      </c>
      <c r="D27" s="70">
        <v>4</v>
      </c>
    </row>
    <row r="28" spans="1:4" x14ac:dyDescent="0.25">
      <c r="A28" t="s">
        <v>96</v>
      </c>
      <c r="B28" s="70"/>
      <c r="C28" s="70">
        <v>4</v>
      </c>
      <c r="D28" s="70">
        <v>4</v>
      </c>
    </row>
    <row r="29" spans="1:4" x14ac:dyDescent="0.25">
      <c r="A29" t="s">
        <v>110</v>
      </c>
      <c r="B29" s="70"/>
      <c r="C29" s="70">
        <v>2</v>
      </c>
      <c r="D29" s="70">
        <v>2</v>
      </c>
    </row>
    <row r="30" spans="1:4" x14ac:dyDescent="0.25">
      <c r="A30" t="s">
        <v>91</v>
      </c>
      <c r="B30" s="70"/>
      <c r="C30" s="70">
        <v>1</v>
      </c>
      <c r="D30" s="70">
        <v>1</v>
      </c>
    </row>
    <row r="31" spans="1:4" x14ac:dyDescent="0.25">
      <c r="A31" t="s">
        <v>50</v>
      </c>
      <c r="B31" s="70"/>
      <c r="C31" s="70">
        <v>1</v>
      </c>
      <c r="D31" s="70">
        <v>1</v>
      </c>
    </row>
    <row r="32" spans="1:4" x14ac:dyDescent="0.25">
      <c r="A32" t="s">
        <v>76</v>
      </c>
      <c r="B32" s="70"/>
      <c r="C32" s="70">
        <v>2</v>
      </c>
      <c r="D32" s="70">
        <v>2</v>
      </c>
    </row>
    <row r="33" spans="1:4" x14ac:dyDescent="0.25">
      <c r="A33" t="s">
        <v>53</v>
      </c>
      <c r="B33" s="70">
        <v>2</v>
      </c>
      <c r="C33" s="70"/>
      <c r="D33" s="70">
        <v>2</v>
      </c>
    </row>
    <row r="34" spans="1:4" x14ac:dyDescent="0.25">
      <c r="A34" t="s">
        <v>79</v>
      </c>
      <c r="B34" s="70">
        <v>1</v>
      </c>
      <c r="C34" s="70">
        <v>1</v>
      </c>
      <c r="D34" s="70">
        <v>2</v>
      </c>
    </row>
    <row r="35" spans="1:4" x14ac:dyDescent="0.25">
      <c r="A35" t="s">
        <v>123</v>
      </c>
      <c r="B35" s="70"/>
      <c r="C35" s="70">
        <v>3</v>
      </c>
      <c r="D35" s="70">
        <v>3</v>
      </c>
    </row>
    <row r="36" spans="1:4" x14ac:dyDescent="0.25">
      <c r="A36" t="s">
        <v>104</v>
      </c>
      <c r="B36" s="70">
        <v>1</v>
      </c>
      <c r="C36" s="70">
        <v>4</v>
      </c>
      <c r="D36" s="70">
        <v>5</v>
      </c>
    </row>
    <row r="37" spans="1:4" x14ac:dyDescent="0.25">
      <c r="A37" t="s">
        <v>87</v>
      </c>
      <c r="B37" s="70">
        <v>1</v>
      </c>
      <c r="C37" s="70"/>
      <c r="D37" s="70">
        <v>1</v>
      </c>
    </row>
    <row r="38" spans="1:4" x14ac:dyDescent="0.25">
      <c r="A38" t="s">
        <v>101</v>
      </c>
      <c r="B38" s="70">
        <v>1</v>
      </c>
      <c r="C38" s="70">
        <v>1</v>
      </c>
      <c r="D38" s="70">
        <v>2</v>
      </c>
    </row>
    <row r="39" spans="1:4" x14ac:dyDescent="0.25">
      <c r="A39" t="s">
        <v>118</v>
      </c>
      <c r="B39" s="70">
        <v>1</v>
      </c>
      <c r="C39" s="70"/>
      <c r="D39" s="70">
        <v>1</v>
      </c>
    </row>
    <row r="40" spans="1:4" x14ac:dyDescent="0.25">
      <c r="A40" t="s">
        <v>84</v>
      </c>
      <c r="B40" s="70">
        <v>1</v>
      </c>
      <c r="C40" s="70">
        <v>1</v>
      </c>
      <c r="D40" s="70">
        <v>2</v>
      </c>
    </row>
    <row r="41" spans="1:4" x14ac:dyDescent="0.25">
      <c r="A41" t="s">
        <v>5</v>
      </c>
      <c r="B41" s="70">
        <v>1</v>
      </c>
      <c r="C41" s="70">
        <v>1</v>
      </c>
      <c r="D41" s="70">
        <v>2</v>
      </c>
    </row>
    <row r="42" spans="1:4" x14ac:dyDescent="0.25">
      <c r="A42" t="s">
        <v>2</v>
      </c>
      <c r="B42" s="70">
        <v>1</v>
      </c>
      <c r="C42" s="70">
        <v>2</v>
      </c>
      <c r="D42" s="70">
        <v>3</v>
      </c>
    </row>
    <row r="43" spans="1:4" x14ac:dyDescent="0.25">
      <c r="A43" t="s">
        <v>34</v>
      </c>
      <c r="B43" s="70"/>
      <c r="C43" s="70">
        <v>1</v>
      </c>
      <c r="D43" s="70">
        <v>1</v>
      </c>
    </row>
    <row r="44" spans="1:4" x14ac:dyDescent="0.25">
      <c r="A44" t="s">
        <v>4</v>
      </c>
      <c r="B44" s="70"/>
      <c r="C44" s="70">
        <v>3</v>
      </c>
      <c r="D44" s="70">
        <v>3</v>
      </c>
    </row>
    <row r="45" spans="1:4" x14ac:dyDescent="0.25">
      <c r="A45" t="s">
        <v>67</v>
      </c>
      <c r="B45" s="70">
        <v>1</v>
      </c>
      <c r="C45" s="70">
        <v>1</v>
      </c>
      <c r="D45" s="70">
        <v>2</v>
      </c>
    </row>
    <row r="46" spans="1:4" x14ac:dyDescent="0.25">
      <c r="A46" t="s">
        <v>25</v>
      </c>
      <c r="B46" s="70"/>
      <c r="C46" s="70">
        <v>2</v>
      </c>
      <c r="D46" s="70">
        <v>2</v>
      </c>
    </row>
    <row r="47" spans="1:4" x14ac:dyDescent="0.25">
      <c r="A47" t="s">
        <v>162</v>
      </c>
      <c r="B47" s="70"/>
      <c r="C47" s="70">
        <v>2</v>
      </c>
      <c r="D47" s="70">
        <v>2</v>
      </c>
    </row>
    <row r="48" spans="1:4" x14ac:dyDescent="0.25">
      <c r="A48" t="s">
        <v>1041</v>
      </c>
      <c r="B48" s="70"/>
      <c r="C48" s="70">
        <v>1</v>
      </c>
      <c r="D48" s="70">
        <v>1</v>
      </c>
    </row>
    <row r="49" spans="1:4" x14ac:dyDescent="0.25">
      <c r="A49" t="s">
        <v>1143</v>
      </c>
      <c r="B49" s="70"/>
      <c r="C49" s="70">
        <v>1</v>
      </c>
      <c r="D49" s="70">
        <v>1</v>
      </c>
    </row>
    <row r="50" spans="1:4" x14ac:dyDescent="0.25">
      <c r="A50" t="s">
        <v>1123</v>
      </c>
      <c r="B50" s="70">
        <v>1</v>
      </c>
      <c r="C50" s="70"/>
      <c r="D50" s="70">
        <v>1</v>
      </c>
    </row>
    <row r="51" spans="1:4" x14ac:dyDescent="0.25">
      <c r="A51" t="s">
        <v>107</v>
      </c>
      <c r="B51" s="70">
        <v>1</v>
      </c>
      <c r="C51" s="70"/>
      <c r="D51" s="70">
        <v>1</v>
      </c>
    </row>
    <row r="52" spans="1:4" x14ac:dyDescent="0.25">
      <c r="A52" t="s">
        <v>850</v>
      </c>
      <c r="B52" s="70"/>
      <c r="C52" s="70">
        <v>1</v>
      </c>
      <c r="D52" s="70">
        <v>1</v>
      </c>
    </row>
    <row r="53" spans="1:4" x14ac:dyDescent="0.25">
      <c r="A53" t="s">
        <v>1212</v>
      </c>
      <c r="B53" s="70"/>
      <c r="C53" s="70">
        <v>1</v>
      </c>
      <c r="D53" s="70">
        <v>1</v>
      </c>
    </row>
    <row r="54" spans="1:4" x14ac:dyDescent="0.25">
      <c r="A54" t="s">
        <v>981</v>
      </c>
      <c r="B54" s="70"/>
      <c r="C54" s="70">
        <v>2</v>
      </c>
      <c r="D54" s="70">
        <v>2</v>
      </c>
    </row>
    <row r="55" spans="1:4" x14ac:dyDescent="0.25">
      <c r="A55" t="s">
        <v>94</v>
      </c>
      <c r="B55" s="70"/>
      <c r="C55" s="70">
        <v>1</v>
      </c>
      <c r="D55" s="70">
        <v>1</v>
      </c>
    </row>
    <row r="56" spans="1:4" x14ac:dyDescent="0.25">
      <c r="A56" t="s">
        <v>143</v>
      </c>
      <c r="B56" s="70"/>
      <c r="C56" s="70">
        <v>2</v>
      </c>
      <c r="D56" s="70">
        <v>2</v>
      </c>
    </row>
    <row r="57" spans="1:4" x14ac:dyDescent="0.25">
      <c r="A57" t="s">
        <v>151</v>
      </c>
      <c r="B57" s="70"/>
      <c r="C57" s="70">
        <v>1</v>
      </c>
      <c r="D57" s="70">
        <v>1</v>
      </c>
    </row>
    <row r="58" spans="1:4" x14ac:dyDescent="0.25">
      <c r="A58" t="s">
        <v>468</v>
      </c>
      <c r="B58" s="70"/>
      <c r="C58" s="70">
        <v>1</v>
      </c>
      <c r="D58" s="70">
        <v>1</v>
      </c>
    </row>
    <row r="59" spans="1:4" x14ac:dyDescent="0.25">
      <c r="A59" t="s">
        <v>469</v>
      </c>
      <c r="B59" s="70">
        <v>3</v>
      </c>
      <c r="C59" s="70"/>
      <c r="D59" s="70">
        <v>3</v>
      </c>
    </row>
    <row r="60" spans="1:4" x14ac:dyDescent="0.25">
      <c r="A60" t="s">
        <v>470</v>
      </c>
      <c r="B60" s="70">
        <v>1</v>
      </c>
      <c r="C60" s="70">
        <v>2</v>
      </c>
      <c r="D60" s="70">
        <v>3</v>
      </c>
    </row>
    <row r="61" spans="1:4" x14ac:dyDescent="0.25">
      <c r="A61" t="s">
        <v>412</v>
      </c>
      <c r="B61" s="70"/>
      <c r="C61" s="70">
        <v>1</v>
      </c>
      <c r="D61" s="70">
        <v>1</v>
      </c>
    </row>
    <row r="62" spans="1:4" x14ac:dyDescent="0.25">
      <c r="A62" t="s">
        <v>420</v>
      </c>
      <c r="B62" s="70"/>
      <c r="C62" s="70">
        <v>1</v>
      </c>
      <c r="D62" s="70">
        <v>1</v>
      </c>
    </row>
    <row r="63" spans="1:4" x14ac:dyDescent="0.25">
      <c r="A63" t="s">
        <v>471</v>
      </c>
      <c r="B63" s="70">
        <v>2</v>
      </c>
      <c r="C63" s="70">
        <v>1</v>
      </c>
      <c r="D63" s="70">
        <v>3</v>
      </c>
    </row>
    <row r="64" spans="1:4" x14ac:dyDescent="0.25">
      <c r="A64" t="s">
        <v>472</v>
      </c>
      <c r="B64" s="70"/>
      <c r="C64" s="70">
        <v>2</v>
      </c>
      <c r="D64" s="70">
        <v>2</v>
      </c>
    </row>
    <row r="65" spans="1:4" x14ac:dyDescent="0.25">
      <c r="A65" t="s">
        <v>432</v>
      </c>
      <c r="B65" s="70">
        <v>1</v>
      </c>
      <c r="C65" s="70">
        <v>1</v>
      </c>
      <c r="D65" s="70">
        <v>2</v>
      </c>
    </row>
    <row r="66" spans="1:4" x14ac:dyDescent="0.25">
      <c r="A66" t="s">
        <v>473</v>
      </c>
      <c r="B66" s="70"/>
      <c r="C66" s="70">
        <v>1</v>
      </c>
      <c r="D66" s="70">
        <v>1</v>
      </c>
    </row>
    <row r="67" spans="1:4" x14ac:dyDescent="0.25">
      <c r="A67" t="s">
        <v>474</v>
      </c>
      <c r="B67" s="70"/>
      <c r="C67" s="70">
        <v>1</v>
      </c>
      <c r="D67" s="70">
        <v>1</v>
      </c>
    </row>
    <row r="68" spans="1:4" x14ac:dyDescent="0.25">
      <c r="A68" t="s">
        <v>476</v>
      </c>
      <c r="B68" s="70">
        <v>2</v>
      </c>
      <c r="C68" s="70"/>
      <c r="D68" s="70">
        <v>2</v>
      </c>
    </row>
    <row r="69" spans="1:4" x14ac:dyDescent="0.25">
      <c r="A69" t="s">
        <v>477</v>
      </c>
      <c r="B69" s="70">
        <v>2</v>
      </c>
      <c r="C69" s="70"/>
      <c r="D69" s="70">
        <v>2</v>
      </c>
    </row>
    <row r="70" spans="1:4" x14ac:dyDescent="0.25">
      <c r="A70" t="s">
        <v>491</v>
      </c>
      <c r="B70" s="70"/>
      <c r="C70" s="70">
        <v>2</v>
      </c>
      <c r="D70" s="70">
        <v>2</v>
      </c>
    </row>
    <row r="71" spans="1:4" x14ac:dyDescent="0.25">
      <c r="A71" t="s">
        <v>511</v>
      </c>
      <c r="B71" s="70"/>
      <c r="C71" s="70">
        <v>2</v>
      </c>
      <c r="D71" s="70">
        <v>2</v>
      </c>
    </row>
    <row r="72" spans="1:4" x14ac:dyDescent="0.25">
      <c r="A72" t="s">
        <v>515</v>
      </c>
      <c r="B72" s="70">
        <v>1</v>
      </c>
      <c r="C72" s="70">
        <v>1</v>
      </c>
      <c r="D72" s="70">
        <v>2</v>
      </c>
    </row>
    <row r="73" spans="1:4" x14ac:dyDescent="0.25">
      <c r="A73" t="s">
        <v>519</v>
      </c>
      <c r="B73" s="70">
        <v>1</v>
      </c>
      <c r="C73" s="70"/>
      <c r="D73" s="70">
        <v>1</v>
      </c>
    </row>
    <row r="74" spans="1:4" x14ac:dyDescent="0.25">
      <c r="A74" t="s">
        <v>527</v>
      </c>
      <c r="B74" s="70">
        <v>2</v>
      </c>
      <c r="C74" s="70">
        <v>2</v>
      </c>
      <c r="D74" s="70">
        <v>4</v>
      </c>
    </row>
    <row r="75" spans="1:4" x14ac:dyDescent="0.25">
      <c r="A75" t="s">
        <v>541</v>
      </c>
      <c r="B75" s="70">
        <v>2</v>
      </c>
      <c r="C75" s="70">
        <v>2</v>
      </c>
      <c r="D75" s="70">
        <v>4</v>
      </c>
    </row>
    <row r="76" spans="1:4" x14ac:dyDescent="0.25">
      <c r="A76" t="s">
        <v>545</v>
      </c>
      <c r="B76" s="70"/>
      <c r="C76" s="70">
        <v>1</v>
      </c>
      <c r="D76" s="70">
        <v>1</v>
      </c>
    </row>
    <row r="77" spans="1:4" x14ac:dyDescent="0.25">
      <c r="A77" t="s">
        <v>606</v>
      </c>
      <c r="B77" s="70">
        <v>2</v>
      </c>
      <c r="C77" s="70"/>
      <c r="D77" s="70">
        <v>2</v>
      </c>
    </row>
    <row r="78" spans="1:4" x14ac:dyDescent="0.25">
      <c r="A78" t="s">
        <v>930</v>
      </c>
      <c r="B78" s="70">
        <v>1</v>
      </c>
      <c r="C78" s="70">
        <v>1</v>
      </c>
      <c r="D78" s="70">
        <v>2</v>
      </c>
    </row>
    <row r="79" spans="1:4" x14ac:dyDescent="0.25">
      <c r="A79" t="s">
        <v>1216</v>
      </c>
      <c r="B79" s="70"/>
      <c r="C79" s="70">
        <v>1</v>
      </c>
      <c r="D79" s="70">
        <v>1</v>
      </c>
    </row>
    <row r="80" spans="1:4" x14ac:dyDescent="0.25">
      <c r="A80" t="s">
        <v>709</v>
      </c>
      <c r="B80" s="70">
        <v>1</v>
      </c>
      <c r="C80" s="70"/>
      <c r="D80" s="70">
        <v>1</v>
      </c>
    </row>
    <row r="81" spans="1:4" x14ac:dyDescent="0.25">
      <c r="A81" t="s">
        <v>1231</v>
      </c>
      <c r="B81" s="70"/>
      <c r="C81" s="70">
        <v>1</v>
      </c>
      <c r="D81" s="70">
        <v>1</v>
      </c>
    </row>
    <row r="82" spans="1:4" x14ac:dyDescent="0.25">
      <c r="A82" t="s">
        <v>748</v>
      </c>
      <c r="B82" s="70">
        <v>1</v>
      </c>
      <c r="C82" s="70"/>
      <c r="D82" s="70">
        <v>1</v>
      </c>
    </row>
    <row r="83" spans="1:4" x14ac:dyDescent="0.25">
      <c r="A83" t="s">
        <v>755</v>
      </c>
      <c r="B83" s="70"/>
      <c r="C83" s="70">
        <v>1</v>
      </c>
      <c r="D83" s="70">
        <v>1</v>
      </c>
    </row>
    <row r="84" spans="1:4" x14ac:dyDescent="0.25">
      <c r="A84" t="s">
        <v>792</v>
      </c>
      <c r="B84" s="70"/>
      <c r="C84" s="70">
        <v>1</v>
      </c>
      <c r="D84" s="70">
        <v>1</v>
      </c>
    </row>
    <row r="85" spans="1:4" x14ac:dyDescent="0.25">
      <c r="A85" t="s">
        <v>800</v>
      </c>
      <c r="B85" s="70">
        <v>1</v>
      </c>
      <c r="C85" s="70"/>
      <c r="D85" s="70">
        <v>1</v>
      </c>
    </row>
    <row r="86" spans="1:4" x14ac:dyDescent="0.25">
      <c r="A86" t="s">
        <v>822</v>
      </c>
      <c r="B86" s="70"/>
      <c r="C86" s="70">
        <v>1</v>
      </c>
      <c r="D86" s="70">
        <v>1</v>
      </c>
    </row>
    <row r="87" spans="1:4" x14ac:dyDescent="0.25">
      <c r="A87" t="s">
        <v>830</v>
      </c>
      <c r="B87" s="70">
        <v>1</v>
      </c>
      <c r="C87" s="70"/>
      <c r="D87" s="70">
        <v>1</v>
      </c>
    </row>
    <row r="88" spans="1:4" x14ac:dyDescent="0.25">
      <c r="A88" t="s">
        <v>1004</v>
      </c>
      <c r="B88" s="70">
        <v>1</v>
      </c>
      <c r="C88" s="70">
        <v>1</v>
      </c>
      <c r="D88" s="70">
        <v>2</v>
      </c>
    </row>
    <row r="89" spans="1:4" x14ac:dyDescent="0.25">
      <c r="A89" t="s">
        <v>842</v>
      </c>
      <c r="B89" s="70">
        <v>1</v>
      </c>
      <c r="C89" s="70"/>
      <c r="D89" s="70">
        <v>1</v>
      </c>
    </row>
    <row r="90" spans="1:4" x14ac:dyDescent="0.25">
      <c r="A90" t="s">
        <v>862</v>
      </c>
      <c r="B90" s="70">
        <v>1</v>
      </c>
      <c r="C90" s="70"/>
      <c r="D90" s="70">
        <v>1</v>
      </c>
    </row>
    <row r="91" spans="1:4" x14ac:dyDescent="0.25">
      <c r="A91" t="s">
        <v>870</v>
      </c>
      <c r="B91" s="70">
        <v>1</v>
      </c>
      <c r="C91" s="70"/>
      <c r="D91" s="70">
        <v>1</v>
      </c>
    </row>
    <row r="92" spans="1:4" x14ac:dyDescent="0.25">
      <c r="A92" t="s">
        <v>909</v>
      </c>
      <c r="B92" s="70"/>
      <c r="C92" s="70">
        <v>1</v>
      </c>
      <c r="D92" s="70">
        <v>1</v>
      </c>
    </row>
    <row r="93" spans="1:4" x14ac:dyDescent="0.25">
      <c r="A93" t="s">
        <v>926</v>
      </c>
      <c r="B93" s="70"/>
      <c r="C93" s="70">
        <v>1</v>
      </c>
      <c r="D93" s="70">
        <v>1</v>
      </c>
    </row>
    <row r="94" spans="1:4" x14ac:dyDescent="0.25">
      <c r="A94" t="s">
        <v>935</v>
      </c>
      <c r="B94" s="70"/>
      <c r="C94" s="70">
        <v>1</v>
      </c>
      <c r="D94" s="70">
        <v>1</v>
      </c>
    </row>
    <row r="95" spans="1:4" x14ac:dyDescent="0.25">
      <c r="A95" t="s">
        <v>1271</v>
      </c>
      <c r="B95" s="70"/>
      <c r="C95" s="70">
        <v>1</v>
      </c>
      <c r="D95" s="70">
        <v>1</v>
      </c>
    </row>
    <row r="96" spans="1:4" x14ac:dyDescent="0.25">
      <c r="A96" t="s">
        <v>952</v>
      </c>
      <c r="B96" s="70"/>
      <c r="C96" s="70">
        <v>1</v>
      </c>
      <c r="D96" s="70">
        <v>1</v>
      </c>
    </row>
    <row r="97" spans="1:4" x14ac:dyDescent="0.25">
      <c r="A97" t="s">
        <v>985</v>
      </c>
      <c r="B97" s="70"/>
      <c r="C97" s="70">
        <v>1</v>
      </c>
      <c r="D97" s="70">
        <v>1</v>
      </c>
    </row>
    <row r="98" spans="1:4" x14ac:dyDescent="0.25">
      <c r="A98" t="s">
        <v>1283</v>
      </c>
      <c r="B98" s="70">
        <v>1</v>
      </c>
      <c r="C98" s="70"/>
      <c r="D98" s="70">
        <v>1</v>
      </c>
    </row>
    <row r="99" spans="1:4" x14ac:dyDescent="0.25">
      <c r="A99" t="s">
        <v>1013</v>
      </c>
      <c r="B99" s="70">
        <v>1</v>
      </c>
      <c r="C99" s="70"/>
      <c r="D99" s="70">
        <v>1</v>
      </c>
    </row>
    <row r="100" spans="1:4" x14ac:dyDescent="0.25">
      <c r="A100" t="s">
        <v>1295</v>
      </c>
      <c r="B100" s="70">
        <v>1</v>
      </c>
      <c r="C100" s="70"/>
      <c r="D100" s="70">
        <v>1</v>
      </c>
    </row>
    <row r="101" spans="1:4" x14ac:dyDescent="0.25">
      <c r="A101" t="s">
        <v>169</v>
      </c>
      <c r="B101" s="70">
        <v>54</v>
      </c>
      <c r="C101" s="70">
        <v>105</v>
      </c>
      <c r="D101" s="70">
        <v>159</v>
      </c>
    </row>
  </sheetData>
  <mergeCells count="3">
    <mergeCell ref="A1:F1"/>
    <mergeCell ref="A2:F2"/>
    <mergeCell ref="H1:K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8A56D-0B53-4CDA-8FC3-BDE5B50117CC}">
  <sheetPr>
    <tabColor rgb="FF0677D9"/>
  </sheetPr>
  <dimension ref="A1:F10"/>
  <sheetViews>
    <sheetView workbookViewId="0">
      <selection activeCell="B19" sqref="B19"/>
    </sheetView>
  </sheetViews>
  <sheetFormatPr defaultRowHeight="13.5" x14ac:dyDescent="0.25"/>
  <cols>
    <col min="1" max="1" width="22.7109375" style="26" customWidth="1"/>
    <col min="2" max="2" width="16.7109375" style="26" customWidth="1"/>
    <col min="3" max="3" width="21.7109375" style="26" customWidth="1"/>
    <col min="4" max="4" width="10.7109375" style="26" customWidth="1"/>
    <col min="5" max="5" width="22.7109375" style="26" customWidth="1"/>
    <col min="6" max="6" width="10.7109375" style="26" customWidth="1"/>
    <col min="7" max="16384" width="9.140625" style="26"/>
  </cols>
  <sheetData>
    <row r="1" spans="1:6" ht="32.1" customHeight="1" x14ac:dyDescent="0.35">
      <c r="A1" s="41" t="s">
        <v>376</v>
      </c>
      <c r="B1" s="41"/>
      <c r="C1" s="41"/>
      <c r="D1" s="41"/>
      <c r="E1" s="41"/>
      <c r="F1" s="41"/>
    </row>
    <row r="2" spans="1:6" hidden="1" x14ac:dyDescent="0.25">
      <c r="A2" s="42"/>
      <c r="B2" s="42"/>
      <c r="C2" s="42"/>
      <c r="D2" s="42"/>
      <c r="E2" s="42"/>
      <c r="F2" s="42"/>
    </row>
    <row r="3" spans="1:6" hidden="1" x14ac:dyDescent="0.25"/>
    <row r="4" spans="1:6" ht="30" customHeight="1" x14ac:dyDescent="0.25">
      <c r="A4" s="27" t="s">
        <v>377</v>
      </c>
      <c r="B4" s="27" t="s">
        <v>378</v>
      </c>
      <c r="C4" s="27" t="s">
        <v>379</v>
      </c>
      <c r="D4" s="27" t="s">
        <v>380</v>
      </c>
      <c r="E4" s="27" t="s">
        <v>381</v>
      </c>
      <c r="F4" s="27" t="s">
        <v>380</v>
      </c>
    </row>
    <row r="5" spans="1:6" ht="24" customHeight="1" x14ac:dyDescent="0.25">
      <c r="A5" s="28" t="s">
        <v>382</v>
      </c>
      <c r="B5" s="30">
        <f>COUNTIFS(Detalhada!$D:$D,"*LESTE*",Detalhada!$E:$E,"&lt;&gt;RCL*")</f>
        <v>103</v>
      </c>
      <c r="C5" s="30">
        <f>COUNTIFS(Detalhada!$D:$D,"*LESTE*",Detalhada!$E:$E,"&lt;&gt;RCL*",Detalhada!$L:$L,"Sim",Detalhada!$R:$R,"Manha")</f>
        <v>35</v>
      </c>
      <c r="D5" s="31">
        <f>IFERROR(C5/B5,0)</f>
        <v>0.33980582524271846</v>
      </c>
      <c r="E5" s="30">
        <f>COUNTIFS(Detalhada!$D:$D,"*LESTE*",Detalhada!$E:$E,"&lt;&gt;RCL*",Detalhada!$L:$L,"Sim",Detalhada!$R:$R,"Tarde")</f>
        <v>68</v>
      </c>
      <c r="F5" s="31">
        <f>IFERROR(E5/B5,0)</f>
        <v>0.66019417475728159</v>
      </c>
    </row>
    <row r="6" spans="1:6" ht="24" customHeight="1" x14ac:dyDescent="0.25">
      <c r="A6" s="28" t="s">
        <v>383</v>
      </c>
      <c r="B6" s="30">
        <f>COUNTIFS(Detalhada!$D:$D,"*SUL*",Detalhada!$E:$E,"&lt;&gt;RCL*")</f>
        <v>42</v>
      </c>
      <c r="C6" s="30">
        <f>COUNTIFS(Detalhada!$D:$D,"*SUL*",Detalhada!$E:$E,"&lt;&gt;RCL*",Detalhada!$L:$L,"Sim",Detalhada!$R:$R,"Manha")</f>
        <v>12</v>
      </c>
      <c r="D6" s="31">
        <f>IFERROR(C6/B6,0)</f>
        <v>0.2857142857142857</v>
      </c>
      <c r="E6" s="30">
        <f>COUNTIFS(Detalhada!$D:$D,"*SUL*",Detalhada!$E:$E,"&lt;&gt;RCL*",Detalhada!$L:$L,"Sim",Detalhada!$R:$R,"Tarde")</f>
        <v>30</v>
      </c>
      <c r="F6" s="31">
        <f>IFERROR(E6/B6,0)</f>
        <v>0.7142857142857143</v>
      </c>
    </row>
    <row r="7" spans="1:6" ht="24" customHeight="1" x14ac:dyDescent="0.25">
      <c r="A7" s="28" t="s">
        <v>384</v>
      </c>
      <c r="B7" s="30">
        <f>COUNTIF(Detalhada!$E:$E,"RCL*")</f>
        <v>10</v>
      </c>
      <c r="C7" s="30">
        <f>COUNTIFS(Detalhada!$E:$E,"RCL*",Detalhada!$L:$L,"Sim",Detalhada!$R:$R,"Manha")</f>
        <v>6</v>
      </c>
      <c r="D7" s="31">
        <f>IFERROR(C7/B7,0)</f>
        <v>0.6</v>
      </c>
      <c r="E7" s="30">
        <f>COUNTIFS(Detalhada!$E:$E,"RCL*",Detalhada!$L:$L,"Sim",Detalhada!$R:$R,"Tarde")</f>
        <v>4</v>
      </c>
      <c r="F7" s="31">
        <f>IFERROR(E7/B7,0)</f>
        <v>0.4</v>
      </c>
    </row>
    <row r="8" spans="1:6" ht="24" customHeight="1" x14ac:dyDescent="0.25">
      <c r="A8" s="29" t="s">
        <v>385</v>
      </c>
      <c r="B8" s="32">
        <f>SUM(B5:B7)</f>
        <v>155</v>
      </c>
      <c r="C8" s="32">
        <f>SUM(C5:C7)</f>
        <v>53</v>
      </c>
      <c r="D8" s="33">
        <f>IFERROR(C8/B8,0)</f>
        <v>0.34193548387096773</v>
      </c>
      <c r="E8" s="32">
        <f>SUM(E5:E7)</f>
        <v>102</v>
      </c>
      <c r="F8" s="33">
        <f>IFERROR(E8/B8,0)</f>
        <v>0.65806451612903227</v>
      </c>
    </row>
    <row r="10" spans="1:6" ht="32.1" customHeight="1" x14ac:dyDescent="0.25">
      <c r="A10" s="43"/>
      <c r="B10" s="43"/>
      <c r="C10" s="43"/>
      <c r="D10" s="43"/>
      <c r="E10" s="43"/>
      <c r="F10" s="43"/>
    </row>
  </sheetData>
  <mergeCells count="3">
    <mergeCell ref="A1:F1"/>
    <mergeCell ref="A2:F2"/>
    <mergeCell ref="A10:F10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1D5-6785-4549-8899-C747360507AB}">
  <sheetPr codeName="Planilha4">
    <tabColor rgb="FF0F172A"/>
  </sheetPr>
  <dimension ref="A1:U165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7.85546875" customWidth="1"/>
    <col min="2" max="2" width="10.42578125" bestFit="1" customWidth="1"/>
    <col min="3" max="3" width="11.5703125" bestFit="1" customWidth="1"/>
    <col min="4" max="4" width="13.42578125" bestFit="1" customWidth="1"/>
    <col min="5" max="5" width="10.5703125" customWidth="1"/>
    <col min="6" max="6" width="7" customWidth="1"/>
    <col min="7" max="7" width="34.140625" bestFit="1" customWidth="1"/>
    <col min="8" max="8" width="7" customWidth="1"/>
    <col min="9" max="9" width="34.7109375" bestFit="1" customWidth="1"/>
    <col min="10" max="10" width="35.7109375" customWidth="1"/>
    <col min="11" max="11" width="15.5703125" customWidth="1"/>
    <col min="12" max="12" width="12.140625" customWidth="1"/>
    <col min="13" max="13" width="34.28515625" bestFit="1" customWidth="1"/>
    <col min="14" max="14" width="20.7109375" style="22" customWidth="1"/>
    <col min="15" max="15" width="30.7109375" bestFit="1" customWidth="1"/>
    <col min="16" max="16" width="20.7109375" style="22" customWidth="1"/>
    <col min="17" max="17" width="17.42578125" customWidth="1"/>
    <col min="18" max="18" width="20.42578125" customWidth="1"/>
    <col min="19" max="19" width="15.85546875" customWidth="1"/>
    <col min="20" max="20" width="18.7109375" style="24" customWidth="1"/>
    <col min="21" max="21" width="22.7109375" customWidth="1"/>
  </cols>
  <sheetData>
    <row r="1" spans="1:21" x14ac:dyDescent="0.25">
      <c r="A1" s="8" t="s">
        <v>6</v>
      </c>
      <c r="B1" s="2" t="s">
        <v>7</v>
      </c>
      <c r="C1" s="2" t="s">
        <v>8</v>
      </c>
      <c r="D1" s="2" t="s">
        <v>9</v>
      </c>
      <c r="E1" s="2" t="s">
        <v>0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18" t="s">
        <v>18</v>
      </c>
      <c r="O1" s="2" t="s">
        <v>19</v>
      </c>
      <c r="P1" s="18" t="s">
        <v>20</v>
      </c>
      <c r="Q1" s="2" t="s">
        <v>21</v>
      </c>
      <c r="R1" s="2" t="s">
        <v>22</v>
      </c>
      <c r="S1" s="1" t="s">
        <v>168</v>
      </c>
      <c r="T1" s="23" t="s">
        <v>182</v>
      </c>
      <c r="U1" s="14" t="s">
        <v>183</v>
      </c>
    </row>
    <row r="2" spans="1:21" x14ac:dyDescent="0.25">
      <c r="A2" s="9">
        <v>51410</v>
      </c>
      <c r="B2" s="34" t="s">
        <v>479</v>
      </c>
      <c r="C2" s="4" t="s">
        <v>23</v>
      </c>
      <c r="D2" s="4" t="s">
        <v>24</v>
      </c>
      <c r="E2" s="4" t="s">
        <v>470</v>
      </c>
      <c r="F2" s="4">
        <v>21004</v>
      </c>
      <c r="G2" s="4" t="s">
        <v>146</v>
      </c>
      <c r="H2" s="4">
        <v>22954</v>
      </c>
      <c r="I2" s="4" t="s">
        <v>147</v>
      </c>
      <c r="J2" s="4" t="s">
        <v>1177</v>
      </c>
      <c r="K2" s="4" t="s">
        <v>28</v>
      </c>
      <c r="L2" s="4" t="s">
        <v>28</v>
      </c>
      <c r="M2" s="4" t="s">
        <v>146</v>
      </c>
      <c r="N2" s="19">
        <v>46258.296724537038</v>
      </c>
      <c r="O2" s="4" t="s">
        <v>47</v>
      </c>
      <c r="P2" s="19">
        <v>46260.682326388887</v>
      </c>
      <c r="Q2" s="4" t="s">
        <v>29</v>
      </c>
      <c r="R2" s="4" t="s">
        <v>30</v>
      </c>
      <c r="T2" s="24">
        <v>3435.3</v>
      </c>
      <c r="U2" t="s">
        <v>184</v>
      </c>
    </row>
    <row r="3" spans="1:21" x14ac:dyDescent="0.25">
      <c r="A3" s="10">
        <v>52498</v>
      </c>
      <c r="B3" s="5" t="s">
        <v>484</v>
      </c>
      <c r="C3" s="5" t="s">
        <v>23</v>
      </c>
      <c r="D3" s="5"/>
      <c r="E3" s="5" t="s">
        <v>133</v>
      </c>
      <c r="F3" s="5">
        <v>25859</v>
      </c>
      <c r="G3" s="5" t="s">
        <v>134</v>
      </c>
      <c r="H3" s="5">
        <v>17449</v>
      </c>
      <c r="I3" s="5" t="s">
        <v>156</v>
      </c>
      <c r="J3" s="5" t="s">
        <v>132</v>
      </c>
      <c r="K3" s="5" t="s">
        <v>28</v>
      </c>
      <c r="L3" s="5" t="s">
        <v>28</v>
      </c>
      <c r="M3" s="5" t="s">
        <v>33</v>
      </c>
      <c r="N3" s="20">
        <v>46265.464212962965</v>
      </c>
      <c r="O3" s="5" t="s">
        <v>47</v>
      </c>
      <c r="P3" s="20">
        <v>46265.666643518518</v>
      </c>
      <c r="Q3" s="5" t="s">
        <v>29</v>
      </c>
      <c r="R3" s="5" t="s">
        <v>30</v>
      </c>
      <c r="S3" s="6"/>
      <c r="T3" s="24">
        <v>291.5</v>
      </c>
      <c r="U3" t="s">
        <v>184</v>
      </c>
    </row>
    <row r="4" spans="1:21" x14ac:dyDescent="0.25">
      <c r="A4" s="9">
        <v>52497</v>
      </c>
      <c r="B4" s="4" t="s">
        <v>484</v>
      </c>
      <c r="C4" s="4" t="s">
        <v>23</v>
      </c>
      <c r="D4" s="4"/>
      <c r="E4" s="4" t="s">
        <v>104</v>
      </c>
      <c r="F4" s="4">
        <v>13461</v>
      </c>
      <c r="G4" s="4" t="s">
        <v>105</v>
      </c>
      <c r="H4" s="4">
        <v>22347</v>
      </c>
      <c r="I4" s="4" t="s">
        <v>106</v>
      </c>
      <c r="J4" s="4" t="s">
        <v>132</v>
      </c>
      <c r="K4" s="4" t="s">
        <v>28</v>
      </c>
      <c r="L4" s="4" t="s">
        <v>28</v>
      </c>
      <c r="M4" s="4" t="s">
        <v>33</v>
      </c>
      <c r="N4" s="19">
        <v>46265.462835648148</v>
      </c>
      <c r="O4" s="4" t="s">
        <v>47</v>
      </c>
      <c r="P4" s="19">
        <v>46265.688993055555</v>
      </c>
      <c r="Q4" s="4" t="s">
        <v>29</v>
      </c>
      <c r="R4" s="4" t="s">
        <v>30</v>
      </c>
      <c r="T4" s="24">
        <v>325.7</v>
      </c>
      <c r="U4" t="s">
        <v>184</v>
      </c>
    </row>
    <row r="5" spans="1:21" x14ac:dyDescent="0.25">
      <c r="A5" s="10">
        <v>52378</v>
      </c>
      <c r="B5" s="5" t="s">
        <v>484</v>
      </c>
      <c r="C5" s="5" t="s">
        <v>23</v>
      </c>
      <c r="D5" s="5" t="s">
        <v>24</v>
      </c>
      <c r="E5" s="5" t="s">
        <v>491</v>
      </c>
      <c r="F5" s="5">
        <v>22950</v>
      </c>
      <c r="G5" s="5" t="s">
        <v>493</v>
      </c>
      <c r="H5" s="5">
        <v>23162</v>
      </c>
      <c r="I5" s="5" t="s">
        <v>495</v>
      </c>
      <c r="J5" s="5" t="s">
        <v>1178</v>
      </c>
      <c r="K5" s="5" t="s">
        <v>28</v>
      </c>
      <c r="L5" s="5" t="s">
        <v>28</v>
      </c>
      <c r="M5" s="5" t="s">
        <v>493</v>
      </c>
      <c r="N5" s="20">
        <v>46262.680312500001</v>
      </c>
      <c r="O5" s="5" t="s">
        <v>47</v>
      </c>
      <c r="P5" s="20">
        <v>46262.690405092595</v>
      </c>
      <c r="Q5" s="5" t="s">
        <v>30</v>
      </c>
      <c r="R5" s="5" t="s">
        <v>30</v>
      </c>
      <c r="S5" s="6"/>
      <c r="T5" s="24">
        <v>14.5</v>
      </c>
      <c r="U5" t="s">
        <v>184</v>
      </c>
    </row>
    <row r="6" spans="1:21" x14ac:dyDescent="0.25">
      <c r="A6" s="9">
        <v>52376</v>
      </c>
      <c r="B6" s="4" t="s">
        <v>484</v>
      </c>
      <c r="C6" s="4" t="s">
        <v>23</v>
      </c>
      <c r="D6" s="4" t="s">
        <v>24</v>
      </c>
      <c r="E6" s="4" t="s">
        <v>101</v>
      </c>
      <c r="F6" s="4">
        <v>22724</v>
      </c>
      <c r="G6" s="4" t="s">
        <v>102</v>
      </c>
      <c r="H6" s="4">
        <v>22990</v>
      </c>
      <c r="I6" s="4" t="s">
        <v>103</v>
      </c>
      <c r="J6" s="4" t="s">
        <v>374</v>
      </c>
      <c r="K6" s="4" t="s">
        <v>28</v>
      </c>
      <c r="L6" s="4" t="s">
        <v>28</v>
      </c>
      <c r="M6" s="4" t="s">
        <v>102</v>
      </c>
      <c r="N6" s="19">
        <v>46262.640231481484</v>
      </c>
      <c r="O6" s="4" t="s">
        <v>47</v>
      </c>
      <c r="P6" s="19">
        <v>46262.659861111111</v>
      </c>
      <c r="Q6" s="4" t="s">
        <v>30</v>
      </c>
      <c r="R6" s="4" t="s">
        <v>30</v>
      </c>
      <c r="T6" s="24">
        <v>28.3</v>
      </c>
      <c r="U6" t="s">
        <v>184</v>
      </c>
    </row>
    <row r="7" spans="1:21" x14ac:dyDescent="0.25">
      <c r="A7" s="11">
        <v>52368</v>
      </c>
      <c r="B7" s="3" t="s">
        <v>484</v>
      </c>
      <c r="C7" s="3" t="s">
        <v>23</v>
      </c>
      <c r="D7" s="3" t="s">
        <v>24</v>
      </c>
      <c r="E7" s="3" t="s">
        <v>473</v>
      </c>
      <c r="F7" s="3">
        <v>24257</v>
      </c>
      <c r="G7" s="3" t="s">
        <v>444</v>
      </c>
      <c r="H7" s="3">
        <v>10097</v>
      </c>
      <c r="I7" s="3" t="s">
        <v>446</v>
      </c>
      <c r="J7" s="3" t="s">
        <v>374</v>
      </c>
      <c r="K7" s="3" t="s">
        <v>28</v>
      </c>
      <c r="L7" s="3" t="s">
        <v>28</v>
      </c>
      <c r="M7" s="3" t="s">
        <v>446</v>
      </c>
      <c r="N7" s="21">
        <v>46262.629687499997</v>
      </c>
      <c r="O7" s="3" t="s">
        <v>47</v>
      </c>
      <c r="P7" s="21">
        <v>46262.692523148151</v>
      </c>
      <c r="Q7" s="3" t="s">
        <v>30</v>
      </c>
      <c r="R7" s="3" t="s">
        <v>30</v>
      </c>
      <c r="T7" s="24">
        <v>90.5</v>
      </c>
      <c r="U7" t="s">
        <v>184</v>
      </c>
    </row>
    <row r="8" spans="1:21" x14ac:dyDescent="0.25">
      <c r="A8" s="9">
        <v>52367</v>
      </c>
      <c r="B8" s="4" t="s">
        <v>484</v>
      </c>
      <c r="C8" s="4" t="s">
        <v>23</v>
      </c>
      <c r="D8" s="4" t="s">
        <v>24</v>
      </c>
      <c r="E8" s="4" t="s">
        <v>110</v>
      </c>
      <c r="F8" s="4">
        <v>24778</v>
      </c>
      <c r="G8" s="4" t="s">
        <v>112</v>
      </c>
      <c r="H8" s="4">
        <v>25766</v>
      </c>
      <c r="I8" s="4" t="s">
        <v>507</v>
      </c>
      <c r="J8" s="4" t="s">
        <v>1179</v>
      </c>
      <c r="K8" s="4" t="s">
        <v>28</v>
      </c>
      <c r="L8" s="4" t="s">
        <v>28</v>
      </c>
      <c r="M8" s="4" t="s">
        <v>112</v>
      </c>
      <c r="N8" s="19">
        <v>46262.622199074074</v>
      </c>
      <c r="O8" s="4" t="s">
        <v>47</v>
      </c>
      <c r="P8" s="19">
        <v>46262.711342592593</v>
      </c>
      <c r="Q8" s="4" t="s">
        <v>30</v>
      </c>
      <c r="R8" s="4" t="s">
        <v>30</v>
      </c>
      <c r="T8" s="24">
        <v>128.4</v>
      </c>
      <c r="U8" t="s">
        <v>184</v>
      </c>
    </row>
    <row r="9" spans="1:21" x14ac:dyDescent="0.25">
      <c r="A9" s="11">
        <v>52366</v>
      </c>
      <c r="B9" s="3" t="s">
        <v>484</v>
      </c>
      <c r="C9" s="3" t="s">
        <v>23</v>
      </c>
      <c r="D9" s="3" t="s">
        <v>24</v>
      </c>
      <c r="E9" s="3" t="s">
        <v>511</v>
      </c>
      <c r="F9" s="3">
        <v>23359</v>
      </c>
      <c r="G9" s="3" t="s">
        <v>395</v>
      </c>
      <c r="H9" s="3">
        <v>24255</v>
      </c>
      <c r="I9" s="3" t="s">
        <v>397</v>
      </c>
      <c r="J9" s="3" t="s">
        <v>1180</v>
      </c>
      <c r="K9" s="3" t="s">
        <v>28</v>
      </c>
      <c r="L9" s="3" t="s">
        <v>28</v>
      </c>
      <c r="M9" s="3" t="s">
        <v>395</v>
      </c>
      <c r="N9" s="21">
        <v>46262.619768518518</v>
      </c>
      <c r="O9" s="3" t="s">
        <v>47</v>
      </c>
      <c r="P9" s="21">
        <v>46262.674814814818</v>
      </c>
      <c r="Q9" s="3" t="s">
        <v>30</v>
      </c>
      <c r="R9" s="3" t="s">
        <v>30</v>
      </c>
      <c r="T9" s="24">
        <v>79.3</v>
      </c>
      <c r="U9" t="s">
        <v>184</v>
      </c>
    </row>
    <row r="10" spans="1:21" x14ac:dyDescent="0.25">
      <c r="A10" s="9">
        <v>52361</v>
      </c>
      <c r="B10" s="4" t="s">
        <v>484</v>
      </c>
      <c r="C10" s="4" t="s">
        <v>23</v>
      </c>
      <c r="D10" s="4" t="s">
        <v>38</v>
      </c>
      <c r="E10" s="4" t="s">
        <v>515</v>
      </c>
      <c r="F10" s="4">
        <v>9893</v>
      </c>
      <c r="G10" s="4" t="s">
        <v>70</v>
      </c>
      <c r="H10" s="4">
        <v>22731</v>
      </c>
      <c r="I10" s="4" t="s">
        <v>71</v>
      </c>
      <c r="J10" s="4" t="s">
        <v>1181</v>
      </c>
      <c r="K10" s="4" t="s">
        <v>28</v>
      </c>
      <c r="L10" s="4" t="s">
        <v>28</v>
      </c>
      <c r="M10" s="4" t="s">
        <v>70</v>
      </c>
      <c r="N10" s="19">
        <v>46262.589571759258</v>
      </c>
      <c r="O10" s="4" t="s">
        <v>33</v>
      </c>
      <c r="P10" s="19">
        <v>46265.447939814818</v>
      </c>
      <c r="Q10" s="4" t="s">
        <v>30</v>
      </c>
      <c r="R10" s="4" t="s">
        <v>29</v>
      </c>
      <c r="T10" s="24">
        <v>4116.1000000000004</v>
      </c>
      <c r="U10" t="s">
        <v>184</v>
      </c>
    </row>
    <row r="11" spans="1:21" x14ac:dyDescent="0.25">
      <c r="A11" s="11">
        <v>52358</v>
      </c>
      <c r="B11" s="3" t="s">
        <v>484</v>
      </c>
      <c r="C11" s="3" t="s">
        <v>23</v>
      </c>
      <c r="D11" s="3" t="s">
        <v>38</v>
      </c>
      <c r="E11" s="3" t="s">
        <v>519</v>
      </c>
      <c r="F11" s="3">
        <v>22743</v>
      </c>
      <c r="G11" s="3" t="s">
        <v>521</v>
      </c>
      <c r="H11" s="3">
        <v>25375</v>
      </c>
      <c r="I11" s="3" t="s">
        <v>523</v>
      </c>
      <c r="J11" s="3" t="s">
        <v>1182</v>
      </c>
      <c r="K11" s="3" t="s">
        <v>28</v>
      </c>
      <c r="L11" s="3" t="s">
        <v>28</v>
      </c>
      <c r="M11" s="3" t="s">
        <v>521</v>
      </c>
      <c r="N11" s="21">
        <v>46262.578275462962</v>
      </c>
      <c r="O11" s="3" t="s">
        <v>33</v>
      </c>
      <c r="P11" s="21">
        <v>46265.449895833335</v>
      </c>
      <c r="Q11" s="3" t="s">
        <v>30</v>
      </c>
      <c r="R11" s="3" t="s">
        <v>29</v>
      </c>
      <c r="T11" s="24">
        <v>4135.1000000000004</v>
      </c>
      <c r="U11" t="s">
        <v>184</v>
      </c>
    </row>
    <row r="12" spans="1:21" x14ac:dyDescent="0.25">
      <c r="A12" s="9">
        <v>52347</v>
      </c>
      <c r="B12" s="4" t="s">
        <v>484</v>
      </c>
      <c r="C12" s="4" t="s">
        <v>23</v>
      </c>
      <c r="D12" s="4" t="s">
        <v>24</v>
      </c>
      <c r="E12" s="4" t="s">
        <v>527</v>
      </c>
      <c r="F12" s="4">
        <v>21948</v>
      </c>
      <c r="G12" s="4" t="s">
        <v>529</v>
      </c>
      <c r="H12" s="4">
        <v>23088</v>
      </c>
      <c r="I12" s="4" t="s">
        <v>531</v>
      </c>
      <c r="J12" s="4" t="s">
        <v>1183</v>
      </c>
      <c r="K12" s="4" t="s">
        <v>28</v>
      </c>
      <c r="L12" s="4" t="s">
        <v>28</v>
      </c>
      <c r="M12" s="4" t="s">
        <v>529</v>
      </c>
      <c r="N12" s="19">
        <v>46262.558125000003</v>
      </c>
      <c r="O12" s="4" t="s">
        <v>47</v>
      </c>
      <c r="P12" s="19">
        <v>46262.63244212963</v>
      </c>
      <c r="Q12" s="4" t="s">
        <v>30</v>
      </c>
      <c r="R12" s="4" t="s">
        <v>30</v>
      </c>
      <c r="T12" s="24">
        <v>107</v>
      </c>
      <c r="U12" t="s">
        <v>184</v>
      </c>
    </row>
    <row r="13" spans="1:21" x14ac:dyDescent="0.25">
      <c r="A13" s="11">
        <v>52346</v>
      </c>
      <c r="B13" s="3" t="s">
        <v>484</v>
      </c>
      <c r="C13" s="3" t="s">
        <v>23</v>
      </c>
      <c r="D13" s="3" t="s">
        <v>38</v>
      </c>
      <c r="E13" s="3" t="s">
        <v>126</v>
      </c>
      <c r="F13" s="3">
        <v>19060</v>
      </c>
      <c r="G13" s="3" t="s">
        <v>127</v>
      </c>
      <c r="H13" s="3">
        <v>19207</v>
      </c>
      <c r="I13" s="3" t="s">
        <v>537</v>
      </c>
      <c r="J13" s="3" t="s">
        <v>1184</v>
      </c>
      <c r="K13" s="3" t="s">
        <v>28</v>
      </c>
      <c r="L13" s="3" t="s">
        <v>28</v>
      </c>
      <c r="M13" s="3" t="s">
        <v>127</v>
      </c>
      <c r="N13" s="21">
        <v>46262.557511574072</v>
      </c>
      <c r="O13" s="3" t="s">
        <v>47</v>
      </c>
      <c r="P13" s="21">
        <v>46262.70045138889</v>
      </c>
      <c r="Q13" s="3" t="s">
        <v>30</v>
      </c>
      <c r="R13" s="3" t="s">
        <v>30</v>
      </c>
      <c r="T13" s="24">
        <v>205.8</v>
      </c>
      <c r="U13" t="s">
        <v>184</v>
      </c>
    </row>
    <row r="14" spans="1:21" x14ac:dyDescent="0.25">
      <c r="A14" s="9">
        <v>52345</v>
      </c>
      <c r="B14" s="4" t="s">
        <v>484</v>
      </c>
      <c r="C14" s="4" t="s">
        <v>23</v>
      </c>
      <c r="D14" s="4" t="s">
        <v>24</v>
      </c>
      <c r="E14" s="4" t="s">
        <v>541</v>
      </c>
      <c r="F14" s="4">
        <v>17448</v>
      </c>
      <c r="G14" s="4" t="s">
        <v>56</v>
      </c>
      <c r="H14" s="4">
        <v>19473</v>
      </c>
      <c r="I14" s="4" t="s">
        <v>57</v>
      </c>
      <c r="J14" s="4" t="s">
        <v>1185</v>
      </c>
      <c r="K14" s="4" t="s">
        <v>28</v>
      </c>
      <c r="L14" s="4" t="s">
        <v>28</v>
      </c>
      <c r="M14" s="4" t="s">
        <v>57</v>
      </c>
      <c r="N14" s="19">
        <v>46262.554652777777</v>
      </c>
      <c r="O14" s="4" t="s">
        <v>33</v>
      </c>
      <c r="P14" s="19">
        <v>46265.365879629629</v>
      </c>
      <c r="Q14" s="4" t="s">
        <v>30</v>
      </c>
      <c r="R14" s="4" t="s">
        <v>29</v>
      </c>
      <c r="T14" s="24">
        <v>4048.2</v>
      </c>
      <c r="U14" t="s">
        <v>184</v>
      </c>
    </row>
    <row r="15" spans="1:21" x14ac:dyDescent="0.25">
      <c r="A15" s="11">
        <v>52344</v>
      </c>
      <c r="B15" s="3" t="s">
        <v>484</v>
      </c>
      <c r="C15" s="3" t="s">
        <v>23</v>
      </c>
      <c r="D15" s="3" t="s">
        <v>24</v>
      </c>
      <c r="E15" s="3" t="s">
        <v>545</v>
      </c>
      <c r="F15" s="3">
        <v>16776</v>
      </c>
      <c r="G15" s="3" t="s">
        <v>547</v>
      </c>
      <c r="H15" s="3">
        <v>25511</v>
      </c>
      <c r="I15" s="3" t="s">
        <v>549</v>
      </c>
      <c r="J15" s="3" t="s">
        <v>374</v>
      </c>
      <c r="K15" s="3" t="s">
        <v>28</v>
      </c>
      <c r="L15" s="3" t="s">
        <v>28</v>
      </c>
      <c r="M15" s="3" t="s">
        <v>549</v>
      </c>
      <c r="N15" s="21">
        <v>46262.553622685184</v>
      </c>
      <c r="O15" s="3" t="s">
        <v>47</v>
      </c>
      <c r="P15" s="21">
        <v>46262.574143518519</v>
      </c>
      <c r="Q15" s="3" t="s">
        <v>30</v>
      </c>
      <c r="R15" s="3" t="s">
        <v>30</v>
      </c>
      <c r="T15" s="24">
        <v>29.6</v>
      </c>
      <c r="U15" t="s">
        <v>184</v>
      </c>
    </row>
    <row r="16" spans="1:21" x14ac:dyDescent="0.25">
      <c r="A16" s="9">
        <v>52308</v>
      </c>
      <c r="B16" s="4" t="s">
        <v>484</v>
      </c>
      <c r="C16" s="4" t="s">
        <v>23</v>
      </c>
      <c r="D16" s="4" t="s">
        <v>24</v>
      </c>
      <c r="E16" s="4" t="s">
        <v>4</v>
      </c>
      <c r="F16" s="4">
        <v>23492</v>
      </c>
      <c r="G16" s="4" t="s">
        <v>99</v>
      </c>
      <c r="H16" s="4">
        <v>18442</v>
      </c>
      <c r="I16" s="4" t="s">
        <v>100</v>
      </c>
      <c r="J16" s="4" t="s">
        <v>1186</v>
      </c>
      <c r="K16" s="4" t="s">
        <v>43</v>
      </c>
      <c r="L16" s="4" t="s">
        <v>28</v>
      </c>
      <c r="M16" s="4" t="s">
        <v>99</v>
      </c>
      <c r="N16" s="19">
        <v>46262.462060185186</v>
      </c>
      <c r="O16" s="4" t="s">
        <v>47</v>
      </c>
      <c r="P16" s="19">
        <v>46262.714988425927</v>
      </c>
      <c r="Q16" s="4" t="s">
        <v>29</v>
      </c>
      <c r="R16" s="4" t="s">
        <v>30</v>
      </c>
      <c r="T16" s="24">
        <v>364.2</v>
      </c>
      <c r="U16" t="s">
        <v>184</v>
      </c>
    </row>
    <row r="17" spans="1:21" x14ac:dyDescent="0.25">
      <c r="A17" s="11">
        <v>52306</v>
      </c>
      <c r="B17" s="3" t="s">
        <v>484</v>
      </c>
      <c r="C17" s="3" t="s">
        <v>23</v>
      </c>
      <c r="D17" s="3" t="s">
        <v>24</v>
      </c>
      <c r="E17" s="3" t="s">
        <v>491</v>
      </c>
      <c r="F17" s="3">
        <v>22950</v>
      </c>
      <c r="G17" s="3" t="s">
        <v>493</v>
      </c>
      <c r="H17" s="3">
        <v>23162</v>
      </c>
      <c r="I17" s="3" t="s">
        <v>495</v>
      </c>
      <c r="J17" s="3" t="s">
        <v>1187</v>
      </c>
      <c r="K17" s="3" t="s">
        <v>28</v>
      </c>
      <c r="L17" s="3" t="s">
        <v>28</v>
      </c>
      <c r="M17" s="3" t="s">
        <v>493</v>
      </c>
      <c r="N17" s="21">
        <v>46262.448298611111</v>
      </c>
      <c r="O17" s="3" t="s">
        <v>47</v>
      </c>
      <c r="P17" s="21">
        <v>46262.669537037036</v>
      </c>
      <c r="Q17" s="3" t="s">
        <v>29</v>
      </c>
      <c r="R17" s="3" t="s">
        <v>30</v>
      </c>
      <c r="T17" s="24">
        <v>318.60000000000002</v>
      </c>
      <c r="U17" t="s">
        <v>184</v>
      </c>
    </row>
    <row r="18" spans="1:21" x14ac:dyDescent="0.25">
      <c r="A18" s="9">
        <v>52305</v>
      </c>
      <c r="B18" s="4" t="s">
        <v>484</v>
      </c>
      <c r="C18" s="4" t="s">
        <v>23</v>
      </c>
      <c r="D18" s="4" t="s">
        <v>24</v>
      </c>
      <c r="E18" s="4" t="s">
        <v>96</v>
      </c>
      <c r="F18" s="4">
        <v>17569</v>
      </c>
      <c r="G18" s="4" t="s">
        <v>97</v>
      </c>
      <c r="H18" s="4">
        <v>13733</v>
      </c>
      <c r="I18" s="4" t="s">
        <v>98</v>
      </c>
      <c r="J18" s="4" t="s">
        <v>1188</v>
      </c>
      <c r="K18" s="4" t="s">
        <v>28</v>
      </c>
      <c r="L18" s="4" t="s">
        <v>28</v>
      </c>
      <c r="M18" s="4" t="s">
        <v>97</v>
      </c>
      <c r="N18" s="19">
        <v>46262.446620370371</v>
      </c>
      <c r="O18" s="4" t="s">
        <v>47</v>
      </c>
      <c r="P18" s="19">
        <v>46262.635428240741</v>
      </c>
      <c r="Q18" s="4" t="s">
        <v>29</v>
      </c>
      <c r="R18" s="4" t="s">
        <v>30</v>
      </c>
      <c r="T18" s="24">
        <v>271.89999999999998</v>
      </c>
      <c r="U18" t="s">
        <v>184</v>
      </c>
    </row>
    <row r="19" spans="1:21" x14ac:dyDescent="0.25">
      <c r="A19" s="11">
        <v>52265</v>
      </c>
      <c r="B19" s="3" t="s">
        <v>484</v>
      </c>
      <c r="C19" s="3" t="s">
        <v>23</v>
      </c>
      <c r="D19" s="3" t="s">
        <v>38</v>
      </c>
      <c r="E19" s="3" t="s">
        <v>1189</v>
      </c>
      <c r="F19" s="3">
        <v>25378</v>
      </c>
      <c r="G19" s="3" t="s">
        <v>565</v>
      </c>
      <c r="H19" s="3">
        <v>25506</v>
      </c>
      <c r="I19" s="3" t="s">
        <v>419</v>
      </c>
      <c r="J19" s="3" t="s">
        <v>1190</v>
      </c>
      <c r="K19" s="3" t="s">
        <v>28</v>
      </c>
      <c r="L19" s="3" t="s">
        <v>28</v>
      </c>
      <c r="M19" s="3" t="s">
        <v>566</v>
      </c>
      <c r="N19" s="21">
        <v>46262.339918981481</v>
      </c>
      <c r="O19" s="3" t="s">
        <v>33</v>
      </c>
      <c r="P19" s="21">
        <v>46265.55128472222</v>
      </c>
      <c r="Q19" s="3" t="s">
        <v>29</v>
      </c>
      <c r="R19" s="3" t="s">
        <v>30</v>
      </c>
      <c r="T19" s="24">
        <v>4624.3999999999996</v>
      </c>
      <c r="U19" t="s">
        <v>184</v>
      </c>
    </row>
    <row r="20" spans="1:21" x14ac:dyDescent="0.25">
      <c r="A20" s="9">
        <v>52261</v>
      </c>
      <c r="B20" s="4" t="s">
        <v>484</v>
      </c>
      <c r="C20" s="4" t="s">
        <v>23</v>
      </c>
      <c r="D20" s="4" t="s">
        <v>38</v>
      </c>
      <c r="E20" s="4" t="s">
        <v>72</v>
      </c>
      <c r="F20" s="4">
        <v>19213</v>
      </c>
      <c r="G20" s="4" t="s">
        <v>73</v>
      </c>
      <c r="H20" s="4">
        <v>20038</v>
      </c>
      <c r="I20" s="4" t="s">
        <v>571</v>
      </c>
      <c r="J20" s="4" t="s">
        <v>1191</v>
      </c>
      <c r="K20" s="4" t="s">
        <v>28</v>
      </c>
      <c r="L20" s="4" t="s">
        <v>28</v>
      </c>
      <c r="M20" s="4" t="s">
        <v>73</v>
      </c>
      <c r="N20" s="19">
        <v>46262.336840277778</v>
      </c>
      <c r="O20" s="4" t="s">
        <v>33</v>
      </c>
      <c r="P20" s="19">
        <v>46265.368541666663</v>
      </c>
      <c r="Q20" s="4" t="s">
        <v>29</v>
      </c>
      <c r="R20" s="4" t="s">
        <v>29</v>
      </c>
      <c r="T20" s="24">
        <v>4365.6000000000004</v>
      </c>
      <c r="U20" t="s">
        <v>184</v>
      </c>
    </row>
    <row r="21" spans="1:21" x14ac:dyDescent="0.25">
      <c r="A21" s="11">
        <v>52257</v>
      </c>
      <c r="B21" s="3" t="s">
        <v>484</v>
      </c>
      <c r="C21" s="3" t="s">
        <v>23</v>
      </c>
      <c r="D21" s="3" t="s">
        <v>24</v>
      </c>
      <c r="E21" s="3" t="s">
        <v>2</v>
      </c>
      <c r="F21" s="3">
        <v>23930</v>
      </c>
      <c r="G21" s="3" t="s">
        <v>122</v>
      </c>
      <c r="H21" s="3">
        <v>15602</v>
      </c>
      <c r="I21" s="3" t="s">
        <v>392</v>
      </c>
      <c r="J21" s="3" t="s">
        <v>1192</v>
      </c>
      <c r="K21" s="3" t="s">
        <v>28</v>
      </c>
      <c r="L21" s="3" t="s">
        <v>28</v>
      </c>
      <c r="M21" s="3" t="s">
        <v>121</v>
      </c>
      <c r="N21" s="21">
        <v>46262.332303240742</v>
      </c>
      <c r="O21" s="3" t="s">
        <v>47</v>
      </c>
      <c r="P21" s="21">
        <v>46262.352094907408</v>
      </c>
      <c r="Q21" s="3" t="s">
        <v>29</v>
      </c>
      <c r="R21" s="3" t="s">
        <v>29</v>
      </c>
      <c r="S21" t="s">
        <v>28</v>
      </c>
      <c r="T21" s="24">
        <v>28.5</v>
      </c>
      <c r="U21" t="s">
        <v>28</v>
      </c>
    </row>
    <row r="22" spans="1:21" x14ac:dyDescent="0.25">
      <c r="A22" s="9">
        <v>52219</v>
      </c>
      <c r="B22" s="4" t="s">
        <v>578</v>
      </c>
      <c r="C22" s="4" t="s">
        <v>23</v>
      </c>
      <c r="D22" s="4" t="s">
        <v>24</v>
      </c>
      <c r="E22" s="4" t="s">
        <v>1193</v>
      </c>
      <c r="F22" s="4">
        <v>21946</v>
      </c>
      <c r="G22" s="4" t="s">
        <v>581</v>
      </c>
      <c r="H22" s="4">
        <v>22739</v>
      </c>
      <c r="I22" s="4" t="s">
        <v>583</v>
      </c>
      <c r="J22" s="4" t="s">
        <v>1194</v>
      </c>
      <c r="K22" s="4" t="s">
        <v>28</v>
      </c>
      <c r="L22" s="4" t="s">
        <v>28</v>
      </c>
      <c r="M22" s="4" t="s">
        <v>583</v>
      </c>
      <c r="N22" s="19">
        <v>46261.725451388891</v>
      </c>
      <c r="O22" s="4" t="s">
        <v>47</v>
      </c>
      <c r="P22" s="19">
        <v>46261.745682870373</v>
      </c>
      <c r="Q22" s="4" t="s">
        <v>30</v>
      </c>
      <c r="R22" s="4" t="s">
        <v>30</v>
      </c>
      <c r="T22" s="24">
        <v>29.1</v>
      </c>
      <c r="U22" t="s">
        <v>184</v>
      </c>
    </row>
    <row r="23" spans="1:21" x14ac:dyDescent="0.25">
      <c r="A23" s="11">
        <v>52216</v>
      </c>
      <c r="B23" s="3" t="s">
        <v>578</v>
      </c>
      <c r="C23" s="3" t="s">
        <v>23</v>
      </c>
      <c r="D23" s="3" t="s">
        <v>37</v>
      </c>
      <c r="E23" s="3" t="s">
        <v>143</v>
      </c>
      <c r="F23" s="3">
        <v>19067</v>
      </c>
      <c r="G23" s="3" t="s">
        <v>144</v>
      </c>
      <c r="H23" s="3">
        <v>19044</v>
      </c>
      <c r="I23" s="3" t="s">
        <v>145</v>
      </c>
      <c r="J23" s="3" t="s">
        <v>1195</v>
      </c>
      <c r="K23" s="3" t="s">
        <v>43</v>
      </c>
      <c r="L23" s="3" t="s">
        <v>28</v>
      </c>
      <c r="M23" s="3" t="s">
        <v>145</v>
      </c>
      <c r="N23" s="21">
        <v>46261.709236111114</v>
      </c>
      <c r="O23" s="3" t="s">
        <v>47</v>
      </c>
      <c r="P23" s="21">
        <v>46261.720057870371</v>
      </c>
      <c r="Q23" s="3" t="s">
        <v>30</v>
      </c>
      <c r="R23" s="3" t="s">
        <v>30</v>
      </c>
      <c r="T23" s="24">
        <v>15.6</v>
      </c>
      <c r="U23" t="s">
        <v>184</v>
      </c>
    </row>
    <row r="24" spans="1:21" x14ac:dyDescent="0.25">
      <c r="A24" s="9">
        <v>52207</v>
      </c>
      <c r="B24" s="4" t="s">
        <v>578</v>
      </c>
      <c r="C24" s="4" t="s">
        <v>23</v>
      </c>
      <c r="D24" s="4" t="s">
        <v>24</v>
      </c>
      <c r="E24" s="4" t="s">
        <v>981</v>
      </c>
      <c r="F24" s="4">
        <v>23931</v>
      </c>
      <c r="G24" s="4" t="s">
        <v>595</v>
      </c>
      <c r="H24" s="4">
        <v>25517</v>
      </c>
      <c r="I24" s="4" t="s">
        <v>597</v>
      </c>
      <c r="J24" s="4" t="s">
        <v>1196</v>
      </c>
      <c r="K24" s="4" t="s">
        <v>43</v>
      </c>
      <c r="L24" s="4" t="s">
        <v>28</v>
      </c>
      <c r="M24" s="4" t="s">
        <v>599</v>
      </c>
      <c r="N24" s="19">
        <v>46261.631006944444</v>
      </c>
      <c r="O24" s="4" t="s">
        <v>47</v>
      </c>
      <c r="P24" s="19">
        <v>46261.632731481484</v>
      </c>
      <c r="Q24" s="4" t="s">
        <v>30</v>
      </c>
      <c r="R24" s="4" t="s">
        <v>30</v>
      </c>
      <c r="T24" s="24">
        <v>2.5</v>
      </c>
      <c r="U24" t="s">
        <v>184</v>
      </c>
    </row>
    <row r="25" spans="1:21" x14ac:dyDescent="0.25">
      <c r="A25" s="11">
        <v>52204</v>
      </c>
      <c r="B25" s="3" t="s">
        <v>578</v>
      </c>
      <c r="C25" s="3" t="s">
        <v>23</v>
      </c>
      <c r="D25" s="3" t="s">
        <v>24</v>
      </c>
      <c r="E25" s="3" t="s">
        <v>160</v>
      </c>
      <c r="F25" s="3">
        <v>6763</v>
      </c>
      <c r="G25" s="3" t="s">
        <v>129</v>
      </c>
      <c r="H25" s="3">
        <v>13042</v>
      </c>
      <c r="I25" s="3" t="s">
        <v>130</v>
      </c>
      <c r="J25" s="3" t="s">
        <v>1197</v>
      </c>
      <c r="K25" s="3" t="s">
        <v>28</v>
      </c>
      <c r="L25" s="3" t="s">
        <v>28</v>
      </c>
      <c r="M25" s="3" t="s">
        <v>129</v>
      </c>
      <c r="N25" s="21">
        <v>46261.621493055558</v>
      </c>
      <c r="O25" s="3" t="s">
        <v>47</v>
      </c>
      <c r="P25" s="21">
        <v>46261.727337962962</v>
      </c>
      <c r="Q25" s="3" t="s">
        <v>30</v>
      </c>
      <c r="R25" s="3" t="s">
        <v>30</v>
      </c>
      <c r="T25" s="24">
        <v>152.4</v>
      </c>
      <c r="U25" t="s">
        <v>184</v>
      </c>
    </row>
    <row r="26" spans="1:21" x14ac:dyDescent="0.25">
      <c r="A26" s="9">
        <v>52202</v>
      </c>
      <c r="B26" s="4" t="s">
        <v>578</v>
      </c>
      <c r="C26" s="4" t="s">
        <v>23</v>
      </c>
      <c r="D26" s="4" t="s">
        <v>24</v>
      </c>
      <c r="E26" s="4" t="s">
        <v>606</v>
      </c>
      <c r="F26" s="4">
        <v>14568</v>
      </c>
      <c r="G26" s="4" t="s">
        <v>608</v>
      </c>
      <c r="H26" s="4">
        <v>16199</v>
      </c>
      <c r="I26" s="4" t="s">
        <v>610</v>
      </c>
      <c r="J26" s="4" t="s">
        <v>1198</v>
      </c>
      <c r="K26" s="4" t="s">
        <v>28</v>
      </c>
      <c r="L26" s="4" t="s">
        <v>28</v>
      </c>
      <c r="M26" s="4" t="s">
        <v>610</v>
      </c>
      <c r="N26" s="19">
        <v>46261.616574074076</v>
      </c>
      <c r="O26" s="4" t="s">
        <v>47</v>
      </c>
      <c r="P26" s="19">
        <v>46262.346956018519</v>
      </c>
      <c r="Q26" s="4" t="s">
        <v>30</v>
      </c>
      <c r="R26" s="4" t="s">
        <v>29</v>
      </c>
      <c r="T26" s="24">
        <v>1051.7</v>
      </c>
      <c r="U26" t="s">
        <v>184</v>
      </c>
    </row>
    <row r="27" spans="1:21" x14ac:dyDescent="0.25">
      <c r="A27" s="11">
        <v>52201</v>
      </c>
      <c r="B27" s="3" t="s">
        <v>578</v>
      </c>
      <c r="C27" s="3" t="s">
        <v>23</v>
      </c>
      <c r="D27" s="3" t="s">
        <v>24</v>
      </c>
      <c r="E27" s="3" t="s">
        <v>151</v>
      </c>
      <c r="F27" s="3">
        <v>19323</v>
      </c>
      <c r="G27" s="3" t="s">
        <v>152</v>
      </c>
      <c r="H27" s="3">
        <v>20043</v>
      </c>
      <c r="I27" s="3" t="s">
        <v>153</v>
      </c>
      <c r="J27" s="3" t="s">
        <v>1199</v>
      </c>
      <c r="K27" s="3" t="s">
        <v>28</v>
      </c>
      <c r="L27" s="3" t="s">
        <v>28</v>
      </c>
      <c r="M27" s="3" t="s">
        <v>152</v>
      </c>
      <c r="N27" s="21">
        <v>46261.608587962961</v>
      </c>
      <c r="O27" s="3" t="s">
        <v>47</v>
      </c>
      <c r="P27" s="21">
        <v>46261.725486111114</v>
      </c>
      <c r="Q27" s="3" t="s">
        <v>30</v>
      </c>
      <c r="R27" s="3" t="s">
        <v>30</v>
      </c>
      <c r="T27" s="24">
        <v>168.3</v>
      </c>
      <c r="U27" t="s">
        <v>184</v>
      </c>
    </row>
    <row r="28" spans="1:21" x14ac:dyDescent="0.25">
      <c r="A28" s="9">
        <v>52199</v>
      </c>
      <c r="B28" s="4" t="s">
        <v>578</v>
      </c>
      <c r="C28" s="4" t="s">
        <v>23</v>
      </c>
      <c r="D28" s="4" t="s">
        <v>24</v>
      </c>
      <c r="E28" s="4" t="s">
        <v>84</v>
      </c>
      <c r="F28" s="4">
        <v>18059</v>
      </c>
      <c r="G28" s="4" t="s">
        <v>85</v>
      </c>
      <c r="H28" s="4">
        <v>23357</v>
      </c>
      <c r="I28" s="4" t="s">
        <v>86</v>
      </c>
      <c r="J28" s="4" t="s">
        <v>1200</v>
      </c>
      <c r="K28" s="4" t="s">
        <v>43</v>
      </c>
      <c r="L28" s="4" t="s">
        <v>28</v>
      </c>
      <c r="M28" s="4" t="s">
        <v>85</v>
      </c>
      <c r="N28" s="19">
        <v>46261.591724537036</v>
      </c>
      <c r="O28" s="4" t="s">
        <v>47</v>
      </c>
      <c r="P28" s="19">
        <v>46261.662986111114</v>
      </c>
      <c r="Q28" s="4" t="s">
        <v>30</v>
      </c>
      <c r="R28" s="4" t="s">
        <v>30</v>
      </c>
      <c r="T28" s="24">
        <v>102.6</v>
      </c>
      <c r="U28" t="s">
        <v>184</v>
      </c>
    </row>
    <row r="29" spans="1:21" x14ac:dyDescent="0.25">
      <c r="A29" s="11">
        <v>52197</v>
      </c>
      <c r="B29" s="3" t="s">
        <v>578</v>
      </c>
      <c r="C29" s="3" t="s">
        <v>23</v>
      </c>
      <c r="D29" s="3" t="s">
        <v>24</v>
      </c>
      <c r="E29" s="3" t="s">
        <v>5</v>
      </c>
      <c r="F29" s="3">
        <v>7315</v>
      </c>
      <c r="G29" s="3" t="s">
        <v>31</v>
      </c>
      <c r="H29" s="3">
        <v>14432</v>
      </c>
      <c r="I29" s="3" t="s">
        <v>32</v>
      </c>
      <c r="J29" s="3" t="s">
        <v>1201</v>
      </c>
      <c r="K29" s="3" t="s">
        <v>28</v>
      </c>
      <c r="L29" s="3" t="s">
        <v>28</v>
      </c>
      <c r="M29" s="3" t="s">
        <v>621</v>
      </c>
      <c r="N29" s="21">
        <v>46261.584999999999</v>
      </c>
      <c r="O29" s="3" t="s">
        <v>33</v>
      </c>
      <c r="P29" s="21">
        <v>46265.369710648149</v>
      </c>
      <c r="Q29" s="3" t="s">
        <v>30</v>
      </c>
      <c r="R29" s="3" t="s">
        <v>29</v>
      </c>
      <c r="T29" s="24">
        <v>5450</v>
      </c>
      <c r="U29" t="s">
        <v>184</v>
      </c>
    </row>
    <row r="30" spans="1:21" x14ac:dyDescent="0.25">
      <c r="A30" s="9">
        <v>52186</v>
      </c>
      <c r="B30" s="4" t="s">
        <v>578</v>
      </c>
      <c r="C30" s="4" t="s">
        <v>23</v>
      </c>
      <c r="D30" s="4" t="s">
        <v>24</v>
      </c>
      <c r="E30" s="4" t="s">
        <v>471</v>
      </c>
      <c r="F30" s="4">
        <v>22717</v>
      </c>
      <c r="G30" s="4" t="s">
        <v>423</v>
      </c>
      <c r="H30" s="4">
        <v>22741</v>
      </c>
      <c r="I30" s="4" t="s">
        <v>131</v>
      </c>
      <c r="J30" s="4" t="s">
        <v>1202</v>
      </c>
      <c r="K30" s="4" t="s">
        <v>28</v>
      </c>
      <c r="L30" s="4" t="s">
        <v>28</v>
      </c>
      <c r="M30" s="4" t="s">
        <v>423</v>
      </c>
      <c r="N30" s="19">
        <v>46261.568784722222</v>
      </c>
      <c r="O30" s="4" t="s">
        <v>33</v>
      </c>
      <c r="P30" s="19">
        <v>46265.371388888889</v>
      </c>
      <c r="Q30" s="4" t="s">
        <v>30</v>
      </c>
      <c r="R30" s="4" t="s">
        <v>29</v>
      </c>
      <c r="T30" s="24">
        <v>5475.8</v>
      </c>
      <c r="U30" t="s">
        <v>184</v>
      </c>
    </row>
    <row r="31" spans="1:21" x14ac:dyDescent="0.25">
      <c r="A31" s="11">
        <v>52184</v>
      </c>
      <c r="B31" s="3" t="s">
        <v>578</v>
      </c>
      <c r="C31" s="3" t="s">
        <v>23</v>
      </c>
      <c r="D31" s="3" t="s">
        <v>24</v>
      </c>
      <c r="E31" s="3" t="s">
        <v>58</v>
      </c>
      <c r="F31" s="3">
        <v>9757</v>
      </c>
      <c r="G31" s="3" t="s">
        <v>59</v>
      </c>
      <c r="H31" s="3">
        <v>6652</v>
      </c>
      <c r="I31" s="3" t="s">
        <v>60</v>
      </c>
      <c r="J31" s="3" t="s">
        <v>1203</v>
      </c>
      <c r="K31" s="3" t="s">
        <v>28</v>
      </c>
      <c r="L31" s="3" t="s">
        <v>28</v>
      </c>
      <c r="M31" s="3" t="s">
        <v>59</v>
      </c>
      <c r="N31" s="21">
        <v>46261.565925925926</v>
      </c>
      <c r="O31" s="3" t="s">
        <v>47</v>
      </c>
      <c r="P31" s="21">
        <v>46261.679502314815</v>
      </c>
      <c r="Q31" s="3" t="s">
        <v>30</v>
      </c>
      <c r="R31" s="3" t="s">
        <v>30</v>
      </c>
      <c r="T31" s="24">
        <v>163.5</v>
      </c>
      <c r="U31" t="s">
        <v>184</v>
      </c>
    </row>
    <row r="32" spans="1:21" x14ac:dyDescent="0.25">
      <c r="A32" s="10">
        <v>52179</v>
      </c>
      <c r="B32" s="5" t="s">
        <v>578</v>
      </c>
      <c r="C32" s="5" t="s">
        <v>23</v>
      </c>
      <c r="D32" s="5" t="s">
        <v>37</v>
      </c>
      <c r="E32" s="5" t="s">
        <v>143</v>
      </c>
      <c r="F32" s="5">
        <v>19067</v>
      </c>
      <c r="G32" s="5" t="s">
        <v>144</v>
      </c>
      <c r="H32" s="5">
        <v>19044</v>
      </c>
      <c r="I32" s="5" t="s">
        <v>145</v>
      </c>
      <c r="J32" s="5" t="s">
        <v>1204</v>
      </c>
      <c r="K32" s="5" t="s">
        <v>28</v>
      </c>
      <c r="L32" s="5" t="s">
        <v>28</v>
      </c>
      <c r="M32" s="5" t="s">
        <v>145</v>
      </c>
      <c r="N32" s="20">
        <v>46261.558009259257</v>
      </c>
      <c r="O32" s="5" t="s">
        <v>47</v>
      </c>
      <c r="P32" s="20">
        <v>46261.705497685187</v>
      </c>
      <c r="Q32" s="5" t="s">
        <v>30</v>
      </c>
      <c r="R32" s="5" t="s">
        <v>30</v>
      </c>
      <c r="S32" s="6"/>
      <c r="T32" s="24">
        <v>212.4</v>
      </c>
      <c r="U32" t="s">
        <v>184</v>
      </c>
    </row>
    <row r="33" spans="1:21" x14ac:dyDescent="0.25">
      <c r="A33" s="11">
        <v>52169</v>
      </c>
      <c r="B33" s="3" t="s">
        <v>578</v>
      </c>
      <c r="C33" s="3" t="s">
        <v>23</v>
      </c>
      <c r="D33" s="3" t="s">
        <v>24</v>
      </c>
      <c r="E33" s="3" t="s">
        <v>104</v>
      </c>
      <c r="F33" s="3">
        <v>13461</v>
      </c>
      <c r="G33" s="3" t="s">
        <v>105</v>
      </c>
      <c r="H33" s="3">
        <v>22347</v>
      </c>
      <c r="I33" s="3" t="s">
        <v>106</v>
      </c>
      <c r="J33" s="3" t="s">
        <v>1205</v>
      </c>
      <c r="K33" s="3" t="s">
        <v>28</v>
      </c>
      <c r="L33" s="3" t="s">
        <v>28</v>
      </c>
      <c r="M33" s="3" t="s">
        <v>105</v>
      </c>
      <c r="N33" s="21">
        <v>46261.537175925929</v>
      </c>
      <c r="O33" s="3" t="s">
        <v>47</v>
      </c>
      <c r="P33" s="21">
        <v>46261.68037037037</v>
      </c>
      <c r="Q33" s="3" t="s">
        <v>30</v>
      </c>
      <c r="R33" s="3" t="s">
        <v>30</v>
      </c>
      <c r="T33" s="24">
        <v>206.2</v>
      </c>
      <c r="U33" t="s">
        <v>184</v>
      </c>
    </row>
    <row r="34" spans="1:21" x14ac:dyDescent="0.25">
      <c r="A34" s="9">
        <v>52166</v>
      </c>
      <c r="B34" s="4" t="s">
        <v>578</v>
      </c>
      <c r="C34" s="4" t="s">
        <v>23</v>
      </c>
      <c r="D34" s="4" t="s">
        <v>24</v>
      </c>
      <c r="E34" s="4" t="s">
        <v>541</v>
      </c>
      <c r="F34" s="4">
        <v>17448</v>
      </c>
      <c r="G34" s="4" t="s">
        <v>56</v>
      </c>
      <c r="H34" s="4">
        <v>19473</v>
      </c>
      <c r="I34" s="4" t="s">
        <v>57</v>
      </c>
      <c r="J34" s="4" t="s">
        <v>1206</v>
      </c>
      <c r="K34" s="4" t="s">
        <v>28</v>
      </c>
      <c r="L34" s="4" t="s">
        <v>28</v>
      </c>
      <c r="M34" s="4" t="s">
        <v>57</v>
      </c>
      <c r="N34" s="19">
        <v>46261.530439814815</v>
      </c>
      <c r="O34" s="4" t="s">
        <v>33</v>
      </c>
      <c r="P34" s="19">
        <v>46265.372141203705</v>
      </c>
      <c r="Q34" s="4" t="s">
        <v>30</v>
      </c>
      <c r="R34" s="4" t="s">
        <v>29</v>
      </c>
      <c r="T34" s="24">
        <v>5532.1</v>
      </c>
      <c r="U34" t="s">
        <v>184</v>
      </c>
    </row>
    <row r="35" spans="1:21" x14ac:dyDescent="0.25">
      <c r="A35" s="11">
        <v>52158</v>
      </c>
      <c r="B35" s="3" t="s">
        <v>578</v>
      </c>
      <c r="C35" s="3" t="s">
        <v>23</v>
      </c>
      <c r="D35" s="3" t="s">
        <v>24</v>
      </c>
      <c r="E35" s="3" t="s">
        <v>162</v>
      </c>
      <c r="F35" s="3">
        <v>13193</v>
      </c>
      <c r="G35" s="3" t="s">
        <v>61</v>
      </c>
      <c r="H35" s="3">
        <v>21361</v>
      </c>
      <c r="I35" s="3" t="s">
        <v>163</v>
      </c>
      <c r="J35" s="3" t="s">
        <v>1207</v>
      </c>
      <c r="K35" s="3" t="s">
        <v>28</v>
      </c>
      <c r="L35" s="3" t="s">
        <v>28</v>
      </c>
      <c r="M35" s="3" t="s">
        <v>163</v>
      </c>
      <c r="N35" s="21">
        <v>46261.51798611111</v>
      </c>
      <c r="O35" s="3" t="s">
        <v>47</v>
      </c>
      <c r="P35" s="21">
        <v>46261.739664351851</v>
      </c>
      <c r="Q35" s="3" t="s">
        <v>30</v>
      </c>
      <c r="R35" s="3" t="s">
        <v>30</v>
      </c>
      <c r="T35" s="24">
        <v>319.2</v>
      </c>
      <c r="U35" t="s">
        <v>184</v>
      </c>
    </row>
    <row r="36" spans="1:21" x14ac:dyDescent="0.25">
      <c r="A36" s="10">
        <v>52156</v>
      </c>
      <c r="B36" s="5" t="s">
        <v>578</v>
      </c>
      <c r="C36" s="5" t="s">
        <v>23</v>
      </c>
      <c r="D36" s="5" t="s">
        <v>24</v>
      </c>
      <c r="E36" s="5" t="s">
        <v>140</v>
      </c>
      <c r="F36" s="5">
        <v>5432</v>
      </c>
      <c r="G36" s="5" t="s">
        <v>141</v>
      </c>
      <c r="H36" s="5">
        <v>24525</v>
      </c>
      <c r="I36" s="5" t="s">
        <v>142</v>
      </c>
      <c r="J36" s="5" t="s">
        <v>1208</v>
      </c>
      <c r="K36" s="5" t="s">
        <v>28</v>
      </c>
      <c r="L36" s="5" t="s">
        <v>28</v>
      </c>
      <c r="M36" s="5" t="s">
        <v>141</v>
      </c>
      <c r="N36" s="20">
        <v>46261.509791666664</v>
      </c>
      <c r="O36" s="5" t="s">
        <v>47</v>
      </c>
      <c r="P36" s="20">
        <v>46262.353344907409</v>
      </c>
      <c r="Q36" s="5" t="s">
        <v>30</v>
      </c>
      <c r="R36" s="5" t="s">
        <v>29</v>
      </c>
      <c r="S36" s="6"/>
      <c r="T36" s="24">
        <v>1214.7</v>
      </c>
      <c r="U36" t="s">
        <v>184</v>
      </c>
    </row>
    <row r="37" spans="1:21" x14ac:dyDescent="0.25">
      <c r="A37" s="11">
        <v>52145</v>
      </c>
      <c r="B37" s="3" t="s">
        <v>578</v>
      </c>
      <c r="C37" s="3" t="s">
        <v>23</v>
      </c>
      <c r="D37" s="3" t="s">
        <v>24</v>
      </c>
      <c r="E37" s="3" t="s">
        <v>2</v>
      </c>
      <c r="F37" s="3">
        <v>23930</v>
      </c>
      <c r="G37" s="3" t="s">
        <v>122</v>
      </c>
      <c r="H37" s="3">
        <v>15602</v>
      </c>
      <c r="I37" s="3" t="s">
        <v>392</v>
      </c>
      <c r="J37" s="3" t="s">
        <v>1209</v>
      </c>
      <c r="K37" s="3" t="s">
        <v>28</v>
      </c>
      <c r="L37" s="3" t="s">
        <v>28</v>
      </c>
      <c r="M37" s="3" t="s">
        <v>121</v>
      </c>
      <c r="N37" s="21">
        <v>46261.482766203706</v>
      </c>
      <c r="O37" s="3" t="s">
        <v>47</v>
      </c>
      <c r="P37" s="21">
        <v>46261.707962962966</v>
      </c>
      <c r="Q37" s="3" t="s">
        <v>29</v>
      </c>
      <c r="R37" s="3" t="s">
        <v>30</v>
      </c>
      <c r="T37" s="24">
        <v>324.3</v>
      </c>
      <c r="U37" t="s">
        <v>184</v>
      </c>
    </row>
    <row r="38" spans="1:21" x14ac:dyDescent="0.25">
      <c r="A38" s="9">
        <v>52143</v>
      </c>
      <c r="B38" s="4" t="s">
        <v>578</v>
      </c>
      <c r="C38" s="4" t="s">
        <v>23</v>
      </c>
      <c r="D38" s="4" t="s">
        <v>24</v>
      </c>
      <c r="E38" s="4" t="s">
        <v>469</v>
      </c>
      <c r="F38" s="4">
        <v>24875</v>
      </c>
      <c r="G38" s="4" t="s">
        <v>425</v>
      </c>
      <c r="H38" s="4">
        <v>53407</v>
      </c>
      <c r="I38" s="4" t="s">
        <v>400</v>
      </c>
      <c r="J38" s="4" t="s">
        <v>1210</v>
      </c>
      <c r="K38" s="4" t="s">
        <v>43</v>
      </c>
      <c r="L38" s="4" t="s">
        <v>28</v>
      </c>
      <c r="M38" s="4" t="s">
        <v>402</v>
      </c>
      <c r="N38" s="19">
        <v>46261.478483796294</v>
      </c>
      <c r="O38" s="4" t="s">
        <v>47</v>
      </c>
      <c r="P38" s="19">
        <v>46262.340497685182</v>
      </c>
      <c r="Q38" s="4" t="s">
        <v>29</v>
      </c>
      <c r="R38" s="4" t="s">
        <v>29</v>
      </c>
      <c r="T38" s="24">
        <v>1241.3</v>
      </c>
      <c r="U38" t="s">
        <v>184</v>
      </c>
    </row>
    <row r="39" spans="1:21" x14ac:dyDescent="0.25">
      <c r="A39" s="11">
        <v>52141</v>
      </c>
      <c r="B39" s="3" t="s">
        <v>578</v>
      </c>
      <c r="C39" s="3" t="s">
        <v>23</v>
      </c>
      <c r="D39" s="3" t="s">
        <v>24</v>
      </c>
      <c r="E39" s="3" t="s">
        <v>477</v>
      </c>
      <c r="F39" s="3">
        <v>812</v>
      </c>
      <c r="G39" s="3" t="s">
        <v>463</v>
      </c>
      <c r="H39" s="3">
        <v>21002</v>
      </c>
      <c r="I39" s="3" t="s">
        <v>465</v>
      </c>
      <c r="J39" s="3" t="s">
        <v>1211</v>
      </c>
      <c r="K39" s="3" t="s">
        <v>43</v>
      </c>
      <c r="L39" s="3" t="s">
        <v>28</v>
      </c>
      <c r="M39" s="3" t="s">
        <v>463</v>
      </c>
      <c r="N39" s="21">
        <v>46261.476261574076</v>
      </c>
      <c r="O39" s="3" t="s">
        <v>47</v>
      </c>
      <c r="P39" s="21">
        <v>46262.334409722222</v>
      </c>
      <c r="Q39" s="3" t="s">
        <v>29</v>
      </c>
      <c r="R39" s="3" t="s">
        <v>29</v>
      </c>
      <c r="T39" s="24">
        <v>1235.7</v>
      </c>
      <c r="U39" t="s">
        <v>184</v>
      </c>
    </row>
    <row r="40" spans="1:21" x14ac:dyDescent="0.25">
      <c r="A40" s="9">
        <v>52140</v>
      </c>
      <c r="B40" s="4" t="s">
        <v>578</v>
      </c>
      <c r="C40" s="4" t="s">
        <v>23</v>
      </c>
      <c r="D40" s="4" t="s">
        <v>24</v>
      </c>
      <c r="E40" s="4" t="s">
        <v>1212</v>
      </c>
      <c r="F40" s="4">
        <v>18295</v>
      </c>
      <c r="G40" s="4" t="s">
        <v>660</v>
      </c>
      <c r="H40" s="4">
        <v>22720</v>
      </c>
      <c r="I40" s="4" t="s">
        <v>662</v>
      </c>
      <c r="J40" s="4" t="s">
        <v>1213</v>
      </c>
      <c r="K40" s="4" t="s">
        <v>28</v>
      </c>
      <c r="L40" s="4" t="s">
        <v>28</v>
      </c>
      <c r="M40" s="4" t="s">
        <v>660</v>
      </c>
      <c r="N40" s="19">
        <v>46261.473101851851</v>
      </c>
      <c r="O40" s="4" t="s">
        <v>47</v>
      </c>
      <c r="P40" s="19">
        <v>46261.680844907409</v>
      </c>
      <c r="Q40" s="4" t="s">
        <v>29</v>
      </c>
      <c r="R40" s="4" t="s">
        <v>30</v>
      </c>
      <c r="T40" s="24">
        <v>299.2</v>
      </c>
      <c r="U40" t="s">
        <v>184</v>
      </c>
    </row>
    <row r="41" spans="1:21" x14ac:dyDescent="0.25">
      <c r="A41" s="11">
        <v>52126</v>
      </c>
      <c r="B41" s="3" t="s">
        <v>578</v>
      </c>
      <c r="C41" s="3" t="s">
        <v>23</v>
      </c>
      <c r="D41" s="3" t="s">
        <v>24</v>
      </c>
      <c r="E41" s="3" t="s">
        <v>432</v>
      </c>
      <c r="F41" s="3">
        <v>23198</v>
      </c>
      <c r="G41" s="3" t="s">
        <v>434</v>
      </c>
      <c r="H41" s="3">
        <v>53435</v>
      </c>
      <c r="I41" s="3" t="s">
        <v>436</v>
      </c>
      <c r="J41" s="3" t="s">
        <v>1214</v>
      </c>
      <c r="K41" s="3" t="s">
        <v>28</v>
      </c>
      <c r="L41" s="3" t="s">
        <v>28</v>
      </c>
      <c r="M41" s="3" t="s">
        <v>436</v>
      </c>
      <c r="N41" s="21">
        <v>46261.448368055557</v>
      </c>
      <c r="O41" s="3" t="s">
        <v>47</v>
      </c>
      <c r="P41" s="21">
        <v>46261.687291666669</v>
      </c>
      <c r="Q41" s="3" t="s">
        <v>29</v>
      </c>
      <c r="R41" s="3" t="s">
        <v>30</v>
      </c>
      <c r="T41" s="24">
        <v>344.1</v>
      </c>
      <c r="U41" t="s">
        <v>184</v>
      </c>
    </row>
    <row r="42" spans="1:21" x14ac:dyDescent="0.25">
      <c r="A42" s="9">
        <v>52099</v>
      </c>
      <c r="B42" s="4" t="s">
        <v>578</v>
      </c>
      <c r="C42" s="4" t="s">
        <v>23</v>
      </c>
      <c r="D42" s="4" t="s">
        <v>38</v>
      </c>
      <c r="E42" s="4" t="s">
        <v>930</v>
      </c>
      <c r="F42" s="4">
        <v>12445</v>
      </c>
      <c r="G42" s="4" t="s">
        <v>45</v>
      </c>
      <c r="H42" s="4">
        <v>10613</v>
      </c>
      <c r="I42" s="4" t="s">
        <v>46</v>
      </c>
      <c r="J42" s="4" t="s">
        <v>1215</v>
      </c>
      <c r="K42" s="4" t="s">
        <v>28</v>
      </c>
      <c r="L42" s="4" t="s">
        <v>28</v>
      </c>
      <c r="M42" s="4" t="s">
        <v>45</v>
      </c>
      <c r="N42" s="19">
        <v>46261.361886574072</v>
      </c>
      <c r="O42" s="4" t="s">
        <v>47</v>
      </c>
      <c r="P42" s="19">
        <v>46261.387048611112</v>
      </c>
      <c r="Q42" s="4" t="s">
        <v>29</v>
      </c>
      <c r="R42" s="4" t="s">
        <v>29</v>
      </c>
      <c r="S42" t="s">
        <v>28</v>
      </c>
      <c r="T42" s="24">
        <v>36.200000000000003</v>
      </c>
      <c r="U42" t="s">
        <v>28</v>
      </c>
    </row>
    <row r="43" spans="1:21" x14ac:dyDescent="0.25">
      <c r="A43" s="11">
        <v>52096</v>
      </c>
      <c r="B43" s="3" t="s">
        <v>578</v>
      </c>
      <c r="C43" s="3" t="s">
        <v>23</v>
      </c>
      <c r="D43" s="3" t="s">
        <v>37</v>
      </c>
      <c r="E43" s="3" t="s">
        <v>1216</v>
      </c>
      <c r="F43" s="3">
        <v>24791</v>
      </c>
      <c r="G43" s="3" t="s">
        <v>676</v>
      </c>
      <c r="H43" s="3">
        <v>24765</v>
      </c>
      <c r="I43" s="3" t="s">
        <v>678</v>
      </c>
      <c r="J43" s="3" t="s">
        <v>1217</v>
      </c>
      <c r="K43" s="3" t="s">
        <v>28</v>
      </c>
      <c r="L43" s="3" t="s">
        <v>28</v>
      </c>
      <c r="M43" s="3" t="s">
        <v>676</v>
      </c>
      <c r="N43" s="21">
        <v>46261.356400462966</v>
      </c>
      <c r="O43" s="3" t="s">
        <v>47</v>
      </c>
      <c r="P43" s="21">
        <v>46261.700162037036</v>
      </c>
      <c r="Q43" s="3" t="s">
        <v>29</v>
      </c>
      <c r="R43" s="3" t="s">
        <v>30</v>
      </c>
      <c r="T43" s="24">
        <v>495</v>
      </c>
      <c r="U43" t="s">
        <v>184</v>
      </c>
    </row>
    <row r="44" spans="1:21" x14ac:dyDescent="0.25">
      <c r="A44" s="9">
        <v>52089</v>
      </c>
      <c r="B44" s="4" t="s">
        <v>578</v>
      </c>
      <c r="C44" s="4" t="s">
        <v>23</v>
      </c>
      <c r="D44" s="4" t="s">
        <v>38</v>
      </c>
      <c r="E44" s="4" t="s">
        <v>161</v>
      </c>
      <c r="F44" s="4">
        <v>24775</v>
      </c>
      <c r="G44" s="4" t="s">
        <v>138</v>
      </c>
      <c r="H44" s="4">
        <v>24776</v>
      </c>
      <c r="I44" s="4" t="s">
        <v>409</v>
      </c>
      <c r="J44" s="4" t="s">
        <v>1218</v>
      </c>
      <c r="K44" s="4" t="s">
        <v>28</v>
      </c>
      <c r="L44" s="4" t="s">
        <v>28</v>
      </c>
      <c r="M44" s="4" t="s">
        <v>138</v>
      </c>
      <c r="N44" s="19">
        <v>46261.352025462962</v>
      </c>
      <c r="O44" s="4" t="s">
        <v>47</v>
      </c>
      <c r="P44" s="19">
        <v>46261.364027777781</v>
      </c>
      <c r="Q44" s="4" t="s">
        <v>29</v>
      </c>
      <c r="R44" s="4" t="s">
        <v>29</v>
      </c>
      <c r="S44" t="s">
        <v>28</v>
      </c>
      <c r="T44" s="24">
        <v>17.3</v>
      </c>
      <c r="U44" t="s">
        <v>28</v>
      </c>
    </row>
    <row r="45" spans="1:21" x14ac:dyDescent="0.25">
      <c r="A45" s="11">
        <v>52085</v>
      </c>
      <c r="B45" s="3" t="s">
        <v>578</v>
      </c>
      <c r="C45" s="3" t="s">
        <v>23</v>
      </c>
      <c r="D45" s="3" t="s">
        <v>24</v>
      </c>
      <c r="E45" s="3" t="s">
        <v>476</v>
      </c>
      <c r="F45" s="3">
        <v>21359</v>
      </c>
      <c r="G45" s="3" t="s">
        <v>458</v>
      </c>
      <c r="H45" s="3">
        <v>25518</v>
      </c>
      <c r="I45" s="3" t="s">
        <v>460</v>
      </c>
      <c r="J45" s="3" t="s">
        <v>1219</v>
      </c>
      <c r="K45" s="3" t="s">
        <v>28</v>
      </c>
      <c r="L45" s="3" t="s">
        <v>28</v>
      </c>
      <c r="M45" s="3" t="s">
        <v>458</v>
      </c>
      <c r="N45" s="21">
        <v>46261.347314814811</v>
      </c>
      <c r="O45" s="3" t="s">
        <v>47</v>
      </c>
      <c r="P45" s="21">
        <v>46261.363344907404</v>
      </c>
      <c r="Q45" s="3" t="s">
        <v>29</v>
      </c>
      <c r="R45" s="3" t="s">
        <v>29</v>
      </c>
      <c r="S45" t="s">
        <v>28</v>
      </c>
      <c r="T45" s="24">
        <v>23.1</v>
      </c>
      <c r="U45" t="s">
        <v>28</v>
      </c>
    </row>
    <row r="46" spans="1:21" x14ac:dyDescent="0.25">
      <c r="A46" s="9">
        <v>52084</v>
      </c>
      <c r="B46" s="4" t="s">
        <v>578</v>
      </c>
      <c r="C46" s="4" t="s">
        <v>23</v>
      </c>
      <c r="D46" s="4" t="s">
        <v>24</v>
      </c>
      <c r="E46" s="4" t="s">
        <v>527</v>
      </c>
      <c r="F46" s="4">
        <v>21948</v>
      </c>
      <c r="G46" s="4" t="s">
        <v>529</v>
      </c>
      <c r="H46" s="4">
        <v>23088</v>
      </c>
      <c r="I46" s="4" t="s">
        <v>531</v>
      </c>
      <c r="J46" s="4" t="s">
        <v>1220</v>
      </c>
      <c r="K46" s="4" t="s">
        <v>28</v>
      </c>
      <c r="L46" s="4" t="s">
        <v>28</v>
      </c>
      <c r="M46" s="4" t="s">
        <v>529</v>
      </c>
      <c r="N46" s="19">
        <v>46261.346944444442</v>
      </c>
      <c r="O46" s="4" t="s">
        <v>47</v>
      </c>
      <c r="P46" s="19">
        <v>46261.367835648147</v>
      </c>
      <c r="Q46" s="4" t="s">
        <v>29</v>
      </c>
      <c r="R46" s="4" t="s">
        <v>29</v>
      </c>
      <c r="S46" t="s">
        <v>28</v>
      </c>
      <c r="T46" s="24">
        <v>30.1</v>
      </c>
      <c r="U46" t="s">
        <v>28</v>
      </c>
    </row>
    <row r="47" spans="1:21" x14ac:dyDescent="0.25">
      <c r="A47" s="11">
        <v>52049</v>
      </c>
      <c r="B47" s="3" t="s">
        <v>693</v>
      </c>
      <c r="C47" s="3" t="s">
        <v>23</v>
      </c>
      <c r="D47" s="3" t="s">
        <v>24</v>
      </c>
      <c r="E47" s="3" t="s">
        <v>527</v>
      </c>
      <c r="F47" s="3">
        <v>21948</v>
      </c>
      <c r="G47" s="3" t="s">
        <v>529</v>
      </c>
      <c r="H47" s="3">
        <v>23088</v>
      </c>
      <c r="I47" s="3" t="s">
        <v>531</v>
      </c>
      <c r="J47" s="3" t="s">
        <v>1221</v>
      </c>
      <c r="K47" s="3" t="s">
        <v>28</v>
      </c>
      <c r="L47" s="3" t="s">
        <v>28</v>
      </c>
      <c r="M47" s="3" t="s">
        <v>529</v>
      </c>
      <c r="N47" s="21">
        <v>46260.707314814812</v>
      </c>
      <c r="O47" s="3" t="s">
        <v>695</v>
      </c>
      <c r="P47" s="21">
        <v>46260.718356481484</v>
      </c>
      <c r="Q47" s="3" t="s">
        <v>30</v>
      </c>
      <c r="R47" s="3" t="s">
        <v>30</v>
      </c>
      <c r="T47" s="24">
        <v>15.9</v>
      </c>
      <c r="U47" t="s">
        <v>184</v>
      </c>
    </row>
    <row r="48" spans="1:21" x14ac:dyDescent="0.25">
      <c r="A48" s="9">
        <v>52032</v>
      </c>
      <c r="B48" s="34" t="s">
        <v>693</v>
      </c>
      <c r="C48" s="4" t="s">
        <v>23</v>
      </c>
      <c r="D48" s="4" t="s">
        <v>24</v>
      </c>
      <c r="E48" s="4" t="s">
        <v>541</v>
      </c>
      <c r="F48" s="4">
        <v>17448</v>
      </c>
      <c r="G48" s="4" t="s">
        <v>56</v>
      </c>
      <c r="H48" s="4">
        <v>19473</v>
      </c>
      <c r="I48" s="4" t="s">
        <v>57</v>
      </c>
      <c r="J48" s="4" t="s">
        <v>1222</v>
      </c>
      <c r="K48" s="4" t="s">
        <v>28</v>
      </c>
      <c r="L48" s="4" t="s">
        <v>28</v>
      </c>
      <c r="M48" s="4" t="s">
        <v>57</v>
      </c>
      <c r="N48" s="19">
        <v>46260.622986111113</v>
      </c>
      <c r="O48" s="4" t="s">
        <v>33</v>
      </c>
      <c r="P48" s="19">
        <v>46260.715983796297</v>
      </c>
      <c r="Q48" s="4" t="s">
        <v>30</v>
      </c>
      <c r="R48" s="4" t="s">
        <v>30</v>
      </c>
      <c r="T48" s="24">
        <v>133.9</v>
      </c>
      <c r="U48" t="s">
        <v>184</v>
      </c>
    </row>
    <row r="49" spans="1:21" x14ac:dyDescent="0.25">
      <c r="A49" s="11">
        <v>52031</v>
      </c>
      <c r="B49" s="35" t="s">
        <v>693</v>
      </c>
      <c r="C49" s="3" t="s">
        <v>23</v>
      </c>
      <c r="D49" s="3" t="s">
        <v>24</v>
      </c>
      <c r="E49" s="3" t="s">
        <v>53</v>
      </c>
      <c r="F49" s="3">
        <v>25505</v>
      </c>
      <c r="G49" s="3" t="s">
        <v>54</v>
      </c>
      <c r="H49" s="3">
        <v>25522</v>
      </c>
      <c r="I49" s="3" t="s">
        <v>55</v>
      </c>
      <c r="J49" s="3" t="s">
        <v>467</v>
      </c>
      <c r="K49" s="3" t="s">
        <v>28</v>
      </c>
      <c r="L49" s="3" t="s">
        <v>28</v>
      </c>
      <c r="M49" s="3" t="s">
        <v>54</v>
      </c>
      <c r="N49" s="21">
        <v>46260.622939814813</v>
      </c>
      <c r="O49" s="3" t="s">
        <v>33</v>
      </c>
      <c r="P49" s="21">
        <v>46261.335138888891</v>
      </c>
      <c r="Q49" s="3" t="s">
        <v>30</v>
      </c>
      <c r="R49" s="3" t="s">
        <v>29</v>
      </c>
      <c r="T49" s="24">
        <v>1025.5999999999999</v>
      </c>
      <c r="U49" t="s">
        <v>184</v>
      </c>
    </row>
    <row r="50" spans="1:21" x14ac:dyDescent="0.25">
      <c r="A50" s="9">
        <v>52026</v>
      </c>
      <c r="B50" s="34" t="s">
        <v>693</v>
      </c>
      <c r="C50" s="4" t="s">
        <v>23</v>
      </c>
      <c r="D50" s="4" t="s">
        <v>24</v>
      </c>
      <c r="E50" s="4" t="s">
        <v>160</v>
      </c>
      <c r="F50" s="4">
        <v>6763</v>
      </c>
      <c r="G50" s="4" t="s">
        <v>129</v>
      </c>
      <c r="H50" s="4">
        <v>13042</v>
      </c>
      <c r="I50" s="4" t="s">
        <v>130</v>
      </c>
      <c r="J50" s="4" t="s">
        <v>1223</v>
      </c>
      <c r="K50" s="4" t="s">
        <v>28</v>
      </c>
      <c r="L50" s="4" t="s">
        <v>28</v>
      </c>
      <c r="M50" s="4" t="s">
        <v>129</v>
      </c>
      <c r="N50" s="19">
        <v>46260.616307870368</v>
      </c>
      <c r="O50" s="4" t="s">
        <v>47</v>
      </c>
      <c r="P50" s="19">
        <v>46261.34579861111</v>
      </c>
      <c r="Q50" s="4" t="s">
        <v>30</v>
      </c>
      <c r="R50" s="4" t="s">
        <v>29</v>
      </c>
      <c r="T50" s="24">
        <v>1050.5</v>
      </c>
      <c r="U50" t="s">
        <v>184</v>
      </c>
    </row>
    <row r="51" spans="1:21" x14ac:dyDescent="0.25">
      <c r="A51" s="11">
        <v>52023</v>
      </c>
      <c r="B51" s="35" t="s">
        <v>693</v>
      </c>
      <c r="C51" s="3" t="s">
        <v>23</v>
      </c>
      <c r="D51" s="3" t="s">
        <v>24</v>
      </c>
      <c r="E51" s="3" t="s">
        <v>709</v>
      </c>
      <c r="F51" s="3">
        <v>23346</v>
      </c>
      <c r="G51" s="3" t="s">
        <v>711</v>
      </c>
      <c r="H51" s="3">
        <v>10102</v>
      </c>
      <c r="I51" s="3" t="s">
        <v>713</v>
      </c>
      <c r="J51" s="3" t="s">
        <v>1224</v>
      </c>
      <c r="K51" s="3" t="s">
        <v>28</v>
      </c>
      <c r="L51" s="3" t="s">
        <v>28</v>
      </c>
      <c r="M51" s="3" t="s">
        <v>711</v>
      </c>
      <c r="N51" s="21">
        <v>46260.611562500002</v>
      </c>
      <c r="O51" s="3" t="s">
        <v>33</v>
      </c>
      <c r="P51" s="21">
        <v>46265.374039351853</v>
      </c>
      <c r="Q51" s="3" t="s">
        <v>30</v>
      </c>
      <c r="R51" s="3" t="s">
        <v>29</v>
      </c>
      <c r="T51" s="24">
        <v>6858</v>
      </c>
      <c r="U51" t="s">
        <v>184</v>
      </c>
    </row>
    <row r="52" spans="1:21" x14ac:dyDescent="0.25">
      <c r="A52" s="9">
        <v>52021</v>
      </c>
      <c r="B52" s="34" t="s">
        <v>693</v>
      </c>
      <c r="C52" s="4" t="s">
        <v>23</v>
      </c>
      <c r="D52" s="4" t="s">
        <v>24</v>
      </c>
      <c r="E52" s="4" t="s">
        <v>104</v>
      </c>
      <c r="F52" s="4">
        <v>13461</v>
      </c>
      <c r="G52" s="4" t="s">
        <v>105</v>
      </c>
      <c r="H52" s="4">
        <v>22347</v>
      </c>
      <c r="I52" s="4" t="s">
        <v>106</v>
      </c>
      <c r="J52" s="4" t="s">
        <v>1225</v>
      </c>
      <c r="K52" s="4" t="s">
        <v>28</v>
      </c>
      <c r="L52" s="4" t="s">
        <v>28</v>
      </c>
      <c r="M52" s="4" t="s">
        <v>105</v>
      </c>
      <c r="N52" s="19">
        <v>46260.610601851855</v>
      </c>
      <c r="O52" s="4" t="s">
        <v>33</v>
      </c>
      <c r="P52" s="19">
        <v>46261.591180555559</v>
      </c>
      <c r="Q52" s="4" t="s">
        <v>30</v>
      </c>
      <c r="R52" s="4" t="s">
        <v>30</v>
      </c>
      <c r="T52" s="24">
        <v>1412</v>
      </c>
      <c r="U52" t="s">
        <v>184</v>
      </c>
    </row>
    <row r="53" spans="1:21" x14ac:dyDescent="0.25">
      <c r="A53" s="11">
        <v>52014</v>
      </c>
      <c r="B53" s="35" t="s">
        <v>693</v>
      </c>
      <c r="C53" s="3" t="s">
        <v>23</v>
      </c>
      <c r="D53" s="3" t="s">
        <v>24</v>
      </c>
      <c r="E53" s="3" t="s">
        <v>133</v>
      </c>
      <c r="F53" s="3">
        <v>17449</v>
      </c>
      <c r="G53" s="3" t="s">
        <v>156</v>
      </c>
      <c r="H53" s="3">
        <v>25859</v>
      </c>
      <c r="I53" s="3" t="s">
        <v>134</v>
      </c>
      <c r="J53" s="3" t="s">
        <v>1226</v>
      </c>
      <c r="K53" s="3" t="s">
        <v>28</v>
      </c>
      <c r="L53" s="3" t="s">
        <v>28</v>
      </c>
      <c r="M53" s="3" t="s">
        <v>156</v>
      </c>
      <c r="N53" s="21">
        <v>46260.594722222224</v>
      </c>
      <c r="O53" s="3" t="s">
        <v>695</v>
      </c>
      <c r="P53" s="21">
        <v>46260.717141203706</v>
      </c>
      <c r="Q53" s="3" t="s">
        <v>30</v>
      </c>
      <c r="R53" s="3" t="s">
        <v>30</v>
      </c>
      <c r="T53" s="24">
        <v>176.3</v>
      </c>
      <c r="U53" t="s">
        <v>184</v>
      </c>
    </row>
    <row r="54" spans="1:21" x14ac:dyDescent="0.25">
      <c r="A54" s="9">
        <v>52013</v>
      </c>
      <c r="B54" s="34" t="s">
        <v>693</v>
      </c>
      <c r="C54" s="4" t="s">
        <v>23</v>
      </c>
      <c r="D54" s="4" t="s">
        <v>38</v>
      </c>
      <c r="E54" s="4" t="s">
        <v>148</v>
      </c>
      <c r="F54" s="4">
        <v>25519</v>
      </c>
      <c r="G54" s="4" t="s">
        <v>149</v>
      </c>
      <c r="H54" s="4">
        <v>22740</v>
      </c>
      <c r="I54" s="4" t="s">
        <v>150</v>
      </c>
      <c r="J54" s="4" t="s">
        <v>1227</v>
      </c>
      <c r="K54" s="4" t="s">
        <v>28</v>
      </c>
      <c r="L54" s="4" t="s">
        <v>28</v>
      </c>
      <c r="M54" s="4" t="s">
        <v>150</v>
      </c>
      <c r="N54" s="19">
        <v>46260.594189814816</v>
      </c>
      <c r="O54" s="4" t="s">
        <v>47</v>
      </c>
      <c r="P54" s="19">
        <v>46260.72283564815</v>
      </c>
      <c r="Q54" s="4" t="s">
        <v>30</v>
      </c>
      <c r="R54" s="4" t="s">
        <v>30</v>
      </c>
      <c r="T54" s="24">
        <v>185.3</v>
      </c>
      <c r="U54" t="s">
        <v>184</v>
      </c>
    </row>
    <row r="55" spans="1:21" x14ac:dyDescent="0.25">
      <c r="A55" s="11">
        <v>52012</v>
      </c>
      <c r="B55" s="35" t="s">
        <v>693</v>
      </c>
      <c r="C55" s="3" t="s">
        <v>23</v>
      </c>
      <c r="D55" s="3" t="s">
        <v>24</v>
      </c>
      <c r="E55" s="3" t="s">
        <v>140</v>
      </c>
      <c r="F55" s="3">
        <v>5432</v>
      </c>
      <c r="G55" s="3" t="s">
        <v>141</v>
      </c>
      <c r="H55" s="3">
        <v>24525</v>
      </c>
      <c r="I55" s="3" t="s">
        <v>142</v>
      </c>
      <c r="J55" s="3" t="s">
        <v>1228</v>
      </c>
      <c r="K55" s="3" t="s">
        <v>28</v>
      </c>
      <c r="L55" s="3" t="s">
        <v>28</v>
      </c>
      <c r="M55" s="3" t="s">
        <v>141</v>
      </c>
      <c r="N55" s="21">
        <v>46260.594074074077</v>
      </c>
      <c r="O55" s="3" t="s">
        <v>695</v>
      </c>
      <c r="P55" s="21">
        <v>46260.72865740741</v>
      </c>
      <c r="Q55" s="3" t="s">
        <v>30</v>
      </c>
      <c r="R55" s="3" t="s">
        <v>30</v>
      </c>
      <c r="T55" s="24">
        <v>193.8</v>
      </c>
      <c r="U55" t="s">
        <v>184</v>
      </c>
    </row>
    <row r="56" spans="1:21" x14ac:dyDescent="0.25">
      <c r="A56" s="9">
        <v>52008</v>
      </c>
      <c r="B56" s="34" t="s">
        <v>693</v>
      </c>
      <c r="C56" s="4" t="s">
        <v>23</v>
      </c>
      <c r="D56" s="4" t="s">
        <v>24</v>
      </c>
      <c r="E56" s="4" t="s">
        <v>96</v>
      </c>
      <c r="F56" s="4">
        <v>17569</v>
      </c>
      <c r="G56" s="4" t="s">
        <v>97</v>
      </c>
      <c r="H56" s="4">
        <v>13733</v>
      </c>
      <c r="I56" s="4" t="s">
        <v>98</v>
      </c>
      <c r="J56" s="4" t="s">
        <v>90</v>
      </c>
      <c r="K56" s="4" t="s">
        <v>28</v>
      </c>
      <c r="L56" s="4" t="s">
        <v>28</v>
      </c>
      <c r="M56" s="4" t="s">
        <v>97</v>
      </c>
      <c r="N56" s="19">
        <v>46260.587673611109</v>
      </c>
      <c r="O56" s="4" t="s">
        <v>33</v>
      </c>
      <c r="P56" s="19">
        <v>46260.676435185182</v>
      </c>
      <c r="Q56" s="4" t="s">
        <v>30</v>
      </c>
      <c r="R56" s="4" t="s">
        <v>30</v>
      </c>
      <c r="T56" s="24">
        <v>127.8</v>
      </c>
      <c r="U56" t="s">
        <v>184</v>
      </c>
    </row>
    <row r="57" spans="1:21" x14ac:dyDescent="0.25">
      <c r="A57" s="11">
        <v>52006</v>
      </c>
      <c r="B57" s="35" t="s">
        <v>693</v>
      </c>
      <c r="C57" s="3" t="s">
        <v>23</v>
      </c>
      <c r="D57" s="3" t="s">
        <v>24</v>
      </c>
      <c r="E57" s="3" t="s">
        <v>34</v>
      </c>
      <c r="F57" s="3">
        <v>23163</v>
      </c>
      <c r="G57" s="3" t="s">
        <v>35</v>
      </c>
      <c r="H57" s="3">
        <v>15753</v>
      </c>
      <c r="I57" s="3" t="s">
        <v>36</v>
      </c>
      <c r="J57" s="3" t="s">
        <v>1229</v>
      </c>
      <c r="K57" s="3" t="s">
        <v>28</v>
      </c>
      <c r="L57" s="3" t="s">
        <v>28</v>
      </c>
      <c r="M57" s="3" t="s">
        <v>36</v>
      </c>
      <c r="N57" s="21">
        <v>46260.584224537037</v>
      </c>
      <c r="O57" s="3" t="s">
        <v>695</v>
      </c>
      <c r="P57" s="21">
        <v>46260.724224537036</v>
      </c>
      <c r="Q57" s="3" t="s">
        <v>30</v>
      </c>
      <c r="R57" s="3" t="s">
        <v>30</v>
      </c>
      <c r="T57" s="24">
        <v>201.6</v>
      </c>
      <c r="U57" t="s">
        <v>184</v>
      </c>
    </row>
    <row r="58" spans="1:21" x14ac:dyDescent="0.25">
      <c r="A58" s="9">
        <v>52005</v>
      </c>
      <c r="B58" s="34" t="s">
        <v>693</v>
      </c>
      <c r="C58" s="4" t="s">
        <v>23</v>
      </c>
      <c r="D58" s="4" t="s">
        <v>38</v>
      </c>
      <c r="E58" s="4" t="s">
        <v>154</v>
      </c>
      <c r="F58" s="4">
        <v>7167</v>
      </c>
      <c r="G58" s="4" t="s">
        <v>155</v>
      </c>
      <c r="H58" s="4">
        <v>26019</v>
      </c>
      <c r="I58" s="4" t="s">
        <v>737</v>
      </c>
      <c r="J58" s="4" t="s">
        <v>1230</v>
      </c>
      <c r="K58" s="4" t="s">
        <v>28</v>
      </c>
      <c r="L58" s="4" t="s">
        <v>28</v>
      </c>
      <c r="M58" s="4" t="s">
        <v>155</v>
      </c>
      <c r="N58" s="19">
        <v>46260.583981481483</v>
      </c>
      <c r="O58" s="4" t="s">
        <v>47</v>
      </c>
      <c r="P58" s="19">
        <v>46262.729444444441</v>
      </c>
      <c r="Q58" s="4" t="s">
        <v>30</v>
      </c>
      <c r="R58" s="4" t="s">
        <v>30</v>
      </c>
      <c r="T58" s="24">
        <v>3089.5</v>
      </c>
      <c r="U58" t="s">
        <v>184</v>
      </c>
    </row>
    <row r="59" spans="1:21" x14ac:dyDescent="0.25">
      <c r="A59" s="11">
        <v>52002</v>
      </c>
      <c r="B59" s="35" t="s">
        <v>693</v>
      </c>
      <c r="C59" s="3" t="s">
        <v>23</v>
      </c>
      <c r="D59" s="3" t="s">
        <v>24</v>
      </c>
      <c r="E59" s="3" t="s">
        <v>1231</v>
      </c>
      <c r="F59" s="3">
        <v>16210</v>
      </c>
      <c r="G59" s="3" t="s">
        <v>440</v>
      </c>
      <c r="H59" s="3">
        <v>17561</v>
      </c>
      <c r="I59" s="3" t="s">
        <v>442</v>
      </c>
      <c r="J59" s="3" t="s">
        <v>1232</v>
      </c>
      <c r="K59" s="3" t="s">
        <v>28</v>
      </c>
      <c r="L59" s="3" t="s">
        <v>28</v>
      </c>
      <c r="M59" s="3" t="s">
        <v>442</v>
      </c>
      <c r="N59" s="21">
        <v>46260.580405092594</v>
      </c>
      <c r="O59" s="3" t="s">
        <v>47</v>
      </c>
      <c r="P59" s="21">
        <v>46260.730717592596</v>
      </c>
      <c r="Q59" s="3" t="s">
        <v>30</v>
      </c>
      <c r="R59" s="3" t="s">
        <v>30</v>
      </c>
      <c r="T59" s="24">
        <v>216.5</v>
      </c>
      <c r="U59" t="s">
        <v>184</v>
      </c>
    </row>
    <row r="60" spans="1:21" x14ac:dyDescent="0.25">
      <c r="A60" s="9">
        <v>52000</v>
      </c>
      <c r="B60" s="34" t="s">
        <v>693</v>
      </c>
      <c r="C60" s="4" t="s">
        <v>23</v>
      </c>
      <c r="D60" s="4" t="s">
        <v>24</v>
      </c>
      <c r="E60" s="4" t="s">
        <v>511</v>
      </c>
      <c r="F60" s="4">
        <v>23359</v>
      </c>
      <c r="G60" s="4" t="s">
        <v>395</v>
      </c>
      <c r="H60" s="4">
        <v>24255</v>
      </c>
      <c r="I60" s="4" t="s">
        <v>397</v>
      </c>
      <c r="J60" s="4" t="s">
        <v>1233</v>
      </c>
      <c r="K60" s="4" t="s">
        <v>28</v>
      </c>
      <c r="L60" s="4" t="s">
        <v>28</v>
      </c>
      <c r="M60" s="4" t="s">
        <v>395</v>
      </c>
      <c r="N60" s="19">
        <v>46260.575868055559</v>
      </c>
      <c r="O60" s="4" t="s">
        <v>47</v>
      </c>
      <c r="P60" s="19">
        <v>46260.687777777777</v>
      </c>
      <c r="Q60" s="4" t="s">
        <v>30</v>
      </c>
      <c r="R60" s="4" t="s">
        <v>30</v>
      </c>
      <c r="T60" s="24">
        <v>161.1</v>
      </c>
      <c r="U60" t="s">
        <v>184</v>
      </c>
    </row>
    <row r="61" spans="1:21" x14ac:dyDescent="0.25">
      <c r="A61" s="11">
        <v>51999</v>
      </c>
      <c r="B61" s="35" t="s">
        <v>693</v>
      </c>
      <c r="C61" s="3" t="s">
        <v>23</v>
      </c>
      <c r="D61" s="3" t="s">
        <v>24</v>
      </c>
      <c r="E61" s="3" t="s">
        <v>748</v>
      </c>
      <c r="F61" s="3">
        <v>24526</v>
      </c>
      <c r="G61" s="3" t="s">
        <v>387</v>
      </c>
      <c r="H61" s="3">
        <v>25512</v>
      </c>
      <c r="I61" s="3" t="s">
        <v>389</v>
      </c>
      <c r="J61" s="3" t="s">
        <v>1234</v>
      </c>
      <c r="K61" s="3" t="s">
        <v>28</v>
      </c>
      <c r="L61" s="3" t="s">
        <v>28</v>
      </c>
      <c r="M61" s="3" t="s">
        <v>390</v>
      </c>
      <c r="N61" s="21">
        <v>46260.575300925928</v>
      </c>
      <c r="O61" s="3" t="s">
        <v>33</v>
      </c>
      <c r="P61" s="21">
        <v>46265.374826388892</v>
      </c>
      <c r="Q61" s="3" t="s">
        <v>30</v>
      </c>
      <c r="R61" s="3" t="s">
        <v>29</v>
      </c>
      <c r="T61" s="24">
        <v>6911.3</v>
      </c>
      <c r="U61" t="s">
        <v>184</v>
      </c>
    </row>
    <row r="62" spans="1:21" x14ac:dyDescent="0.25">
      <c r="A62" s="9">
        <v>51997</v>
      </c>
      <c r="B62" s="34" t="s">
        <v>693</v>
      </c>
      <c r="C62" s="4" t="s">
        <v>23</v>
      </c>
      <c r="D62" s="4"/>
      <c r="E62" s="4" t="s">
        <v>79</v>
      </c>
      <c r="F62" s="4">
        <v>13459</v>
      </c>
      <c r="G62" s="4" t="s">
        <v>80</v>
      </c>
      <c r="H62" s="4">
        <v>14181</v>
      </c>
      <c r="I62" s="4" t="s">
        <v>81</v>
      </c>
      <c r="J62" s="4" t="s">
        <v>1235</v>
      </c>
      <c r="K62" s="4" t="s">
        <v>28</v>
      </c>
      <c r="L62" s="4" t="s">
        <v>28</v>
      </c>
      <c r="M62" s="4" t="s">
        <v>80</v>
      </c>
      <c r="N62" s="19">
        <v>46260.572245370371</v>
      </c>
      <c r="O62" s="4" t="s">
        <v>47</v>
      </c>
      <c r="P62" s="19">
        <v>46260.746550925927</v>
      </c>
      <c r="Q62" s="4" t="s">
        <v>30</v>
      </c>
      <c r="R62" s="4" t="s">
        <v>30</v>
      </c>
      <c r="T62" s="24">
        <v>251</v>
      </c>
      <c r="U62" t="s">
        <v>184</v>
      </c>
    </row>
    <row r="63" spans="1:21" x14ac:dyDescent="0.25">
      <c r="A63" s="11">
        <v>51996</v>
      </c>
      <c r="B63" s="35" t="s">
        <v>693</v>
      </c>
      <c r="C63" s="3" t="s">
        <v>23</v>
      </c>
      <c r="D63" s="3" t="s">
        <v>24</v>
      </c>
      <c r="E63" s="3" t="s">
        <v>755</v>
      </c>
      <c r="F63" s="3">
        <v>15747</v>
      </c>
      <c r="G63" s="3" t="s">
        <v>453</v>
      </c>
      <c r="H63" s="3">
        <v>9895</v>
      </c>
      <c r="I63" s="3" t="s">
        <v>455</v>
      </c>
      <c r="J63" s="3" t="s">
        <v>1236</v>
      </c>
      <c r="K63" s="3" t="s">
        <v>28</v>
      </c>
      <c r="L63" s="3" t="s">
        <v>28</v>
      </c>
      <c r="M63" s="3" t="s">
        <v>453</v>
      </c>
      <c r="N63" s="21">
        <v>46260.57130787037</v>
      </c>
      <c r="O63" s="3" t="s">
        <v>33</v>
      </c>
      <c r="P63" s="21">
        <v>46260.728854166664</v>
      </c>
      <c r="Q63" s="3" t="s">
        <v>30</v>
      </c>
      <c r="R63" s="3" t="s">
        <v>30</v>
      </c>
      <c r="T63" s="24">
        <v>226.9</v>
      </c>
      <c r="U63" t="s">
        <v>184</v>
      </c>
    </row>
    <row r="64" spans="1:21" x14ac:dyDescent="0.25">
      <c r="A64" s="9">
        <v>51995</v>
      </c>
      <c r="B64" s="34" t="s">
        <v>693</v>
      </c>
      <c r="C64" s="4" t="s">
        <v>23</v>
      </c>
      <c r="D64" s="4" t="s">
        <v>24</v>
      </c>
      <c r="E64" s="4" t="s">
        <v>76</v>
      </c>
      <c r="F64" s="4">
        <v>21635</v>
      </c>
      <c r="G64" s="4" t="s">
        <v>77</v>
      </c>
      <c r="H64" s="4">
        <v>24907</v>
      </c>
      <c r="I64" s="4" t="s">
        <v>78</v>
      </c>
      <c r="J64" s="4" t="s">
        <v>1237</v>
      </c>
      <c r="K64" s="4" t="s">
        <v>28</v>
      </c>
      <c r="L64" s="4" t="s">
        <v>28</v>
      </c>
      <c r="M64" s="4" t="s">
        <v>77</v>
      </c>
      <c r="N64" s="19">
        <v>46260.570532407408</v>
      </c>
      <c r="O64" s="4" t="s">
        <v>695</v>
      </c>
      <c r="P64" s="19">
        <v>46260.704884259256</v>
      </c>
      <c r="Q64" s="4" t="s">
        <v>30</v>
      </c>
      <c r="R64" s="4" t="s">
        <v>30</v>
      </c>
      <c r="T64" s="24">
        <v>193.5</v>
      </c>
      <c r="U64" t="s">
        <v>184</v>
      </c>
    </row>
    <row r="65" spans="1:21" x14ac:dyDescent="0.25">
      <c r="A65" s="11">
        <v>51993</v>
      </c>
      <c r="B65" s="35" t="s">
        <v>693</v>
      </c>
      <c r="C65" s="3" t="s">
        <v>23</v>
      </c>
      <c r="D65" s="3" t="s">
        <v>24</v>
      </c>
      <c r="E65" s="3" t="s">
        <v>25</v>
      </c>
      <c r="F65" s="3">
        <v>21352</v>
      </c>
      <c r="G65" s="3" t="s">
        <v>26</v>
      </c>
      <c r="H65" s="3">
        <v>22749</v>
      </c>
      <c r="I65" s="3" t="s">
        <v>27</v>
      </c>
      <c r="J65" s="3" t="s">
        <v>1238</v>
      </c>
      <c r="K65" s="3" t="s">
        <v>43</v>
      </c>
      <c r="L65" s="3" t="s">
        <v>28</v>
      </c>
      <c r="M65" s="3" t="s">
        <v>27</v>
      </c>
      <c r="N65" s="21">
        <v>46260.569282407407</v>
      </c>
      <c r="O65" s="3" t="s">
        <v>47</v>
      </c>
      <c r="P65" s="21">
        <v>46260.736388888887</v>
      </c>
      <c r="Q65" s="3" t="s">
        <v>30</v>
      </c>
      <c r="R65" s="3" t="s">
        <v>30</v>
      </c>
      <c r="T65" s="24">
        <v>240.6</v>
      </c>
      <c r="U65" t="s">
        <v>184</v>
      </c>
    </row>
    <row r="66" spans="1:21" x14ac:dyDescent="0.25">
      <c r="A66" s="9">
        <v>51985</v>
      </c>
      <c r="B66" s="34" t="s">
        <v>693</v>
      </c>
      <c r="C66" s="4" t="s">
        <v>23</v>
      </c>
      <c r="D66" s="4" t="s">
        <v>24</v>
      </c>
      <c r="E66" s="4" t="s">
        <v>67</v>
      </c>
      <c r="F66" s="4">
        <v>13460</v>
      </c>
      <c r="G66" s="4" t="s">
        <v>68</v>
      </c>
      <c r="H66" s="4">
        <v>22716</v>
      </c>
      <c r="I66" s="4" t="s">
        <v>69</v>
      </c>
      <c r="J66" s="4" t="s">
        <v>1239</v>
      </c>
      <c r="K66" s="4" t="s">
        <v>28</v>
      </c>
      <c r="L66" s="4" t="s">
        <v>28</v>
      </c>
      <c r="M66" s="4" t="s">
        <v>68</v>
      </c>
      <c r="N66" s="19">
        <v>46260.555011574077</v>
      </c>
      <c r="O66" s="4" t="s">
        <v>47</v>
      </c>
      <c r="P66" s="19">
        <v>46261.359907407408</v>
      </c>
      <c r="Q66" s="4" t="s">
        <v>30</v>
      </c>
      <c r="R66" s="4" t="s">
        <v>29</v>
      </c>
      <c r="T66" s="24">
        <v>1159</v>
      </c>
      <c r="U66" t="s">
        <v>184</v>
      </c>
    </row>
    <row r="67" spans="1:21" x14ac:dyDescent="0.25">
      <c r="A67" s="11">
        <v>51984</v>
      </c>
      <c r="B67" s="35" t="s">
        <v>693</v>
      </c>
      <c r="C67" s="3" t="s">
        <v>23</v>
      </c>
      <c r="D67" s="3" t="s">
        <v>38</v>
      </c>
      <c r="E67" s="3" t="s">
        <v>161</v>
      </c>
      <c r="F67" s="3">
        <v>24775</v>
      </c>
      <c r="G67" s="3" t="s">
        <v>138</v>
      </c>
      <c r="H67" s="3">
        <v>24776</v>
      </c>
      <c r="I67" s="3" t="s">
        <v>409</v>
      </c>
      <c r="J67" s="3" t="s">
        <v>1240</v>
      </c>
      <c r="K67" s="3" t="s">
        <v>28</v>
      </c>
      <c r="L67" s="3" t="s">
        <v>28</v>
      </c>
      <c r="M67" s="3" t="s">
        <v>138</v>
      </c>
      <c r="N67" s="21">
        <v>46260.553946759261</v>
      </c>
      <c r="O67" s="3" t="s">
        <v>47</v>
      </c>
      <c r="P67" s="21">
        <v>46260.749525462961</v>
      </c>
      <c r="Q67" s="3" t="s">
        <v>30</v>
      </c>
      <c r="R67" s="3" t="s">
        <v>30</v>
      </c>
      <c r="T67" s="24">
        <v>281.60000000000002</v>
      </c>
      <c r="U67" t="s">
        <v>184</v>
      </c>
    </row>
    <row r="68" spans="1:21" x14ac:dyDescent="0.25">
      <c r="A68" s="9">
        <v>51978</v>
      </c>
      <c r="B68" s="34" t="s">
        <v>693</v>
      </c>
      <c r="C68" s="4" t="s">
        <v>23</v>
      </c>
      <c r="D68" s="4" t="s">
        <v>24</v>
      </c>
      <c r="E68" s="4" t="s">
        <v>58</v>
      </c>
      <c r="F68" s="4">
        <v>9757</v>
      </c>
      <c r="G68" s="4" t="s">
        <v>59</v>
      </c>
      <c r="H68" s="4">
        <v>6652</v>
      </c>
      <c r="I68" s="4" t="s">
        <v>60</v>
      </c>
      <c r="J68" s="4" t="s">
        <v>1213</v>
      </c>
      <c r="K68" s="4" t="s">
        <v>28</v>
      </c>
      <c r="L68" s="4" t="s">
        <v>28</v>
      </c>
      <c r="M68" s="4" t="s">
        <v>59</v>
      </c>
      <c r="N68" s="19">
        <v>46260.54546296296</v>
      </c>
      <c r="O68" s="4" t="s">
        <v>47</v>
      </c>
      <c r="P68" s="19">
        <v>46260.663483796299</v>
      </c>
      <c r="Q68" s="4" t="s">
        <v>30</v>
      </c>
      <c r="R68" s="4" t="s">
        <v>30</v>
      </c>
      <c r="T68" s="24">
        <v>170</v>
      </c>
      <c r="U68" t="s">
        <v>184</v>
      </c>
    </row>
    <row r="69" spans="1:21" x14ac:dyDescent="0.25">
      <c r="A69" s="11">
        <v>51975</v>
      </c>
      <c r="B69" s="35" t="s">
        <v>693</v>
      </c>
      <c r="C69" s="3" t="s">
        <v>23</v>
      </c>
      <c r="D69" s="3" t="s">
        <v>24</v>
      </c>
      <c r="E69" s="3" t="s">
        <v>162</v>
      </c>
      <c r="F69" s="3">
        <v>13193</v>
      </c>
      <c r="G69" s="3" t="s">
        <v>61</v>
      </c>
      <c r="H69" s="3">
        <v>53805</v>
      </c>
      <c r="I69" s="3" t="s">
        <v>778</v>
      </c>
      <c r="J69" s="3" t="s">
        <v>1241</v>
      </c>
      <c r="K69" s="3" t="s">
        <v>28</v>
      </c>
      <c r="L69" s="3" t="s">
        <v>28</v>
      </c>
      <c r="M69" s="3" t="s">
        <v>163</v>
      </c>
      <c r="N69" s="21">
        <v>46260.543703703705</v>
      </c>
      <c r="O69" s="3" t="s">
        <v>33</v>
      </c>
      <c r="P69" s="21">
        <v>46261.590312499997</v>
      </c>
      <c r="Q69" s="3" t="s">
        <v>30</v>
      </c>
      <c r="R69" s="3" t="s">
        <v>30</v>
      </c>
      <c r="T69" s="24">
        <v>1507.1</v>
      </c>
      <c r="U69" t="s">
        <v>184</v>
      </c>
    </row>
    <row r="70" spans="1:21" x14ac:dyDescent="0.25">
      <c r="A70" s="9">
        <v>51972</v>
      </c>
      <c r="B70" s="34" t="s">
        <v>693</v>
      </c>
      <c r="C70" s="4" t="s">
        <v>23</v>
      </c>
      <c r="D70" s="4" t="s">
        <v>38</v>
      </c>
      <c r="E70" s="4" t="s">
        <v>165</v>
      </c>
      <c r="F70" s="4">
        <v>17844</v>
      </c>
      <c r="G70" s="4" t="s">
        <v>166</v>
      </c>
      <c r="H70" s="4">
        <v>20033</v>
      </c>
      <c r="I70" s="4" t="s">
        <v>167</v>
      </c>
      <c r="J70" s="4" t="s">
        <v>1242</v>
      </c>
      <c r="K70" s="4" t="s">
        <v>28</v>
      </c>
      <c r="L70" s="4" t="s">
        <v>28</v>
      </c>
      <c r="M70" s="4" t="s">
        <v>166</v>
      </c>
      <c r="N70" s="19">
        <v>46260.538252314815</v>
      </c>
      <c r="O70" s="4" t="s">
        <v>47</v>
      </c>
      <c r="P70" s="19">
        <v>46260.662499999999</v>
      </c>
      <c r="Q70" s="4" t="s">
        <v>30</v>
      </c>
      <c r="R70" s="4" t="s">
        <v>30</v>
      </c>
      <c r="T70" s="24">
        <v>178.9</v>
      </c>
      <c r="U70" t="s">
        <v>184</v>
      </c>
    </row>
    <row r="71" spans="1:21" x14ac:dyDescent="0.25">
      <c r="A71" s="11">
        <v>51959</v>
      </c>
      <c r="B71" s="35" t="s">
        <v>693</v>
      </c>
      <c r="C71" s="3" t="s">
        <v>23</v>
      </c>
      <c r="D71" s="3" t="s">
        <v>24</v>
      </c>
      <c r="E71" s="3" t="s">
        <v>470</v>
      </c>
      <c r="F71" s="3">
        <v>21004</v>
      </c>
      <c r="G71" s="3" t="s">
        <v>146</v>
      </c>
      <c r="H71" s="3">
        <v>22954</v>
      </c>
      <c r="I71" s="3" t="s">
        <v>147</v>
      </c>
      <c r="J71" s="3" t="s">
        <v>1243</v>
      </c>
      <c r="K71" s="3" t="s">
        <v>28</v>
      </c>
      <c r="L71" s="3" t="s">
        <v>28</v>
      </c>
      <c r="M71" s="3" t="s">
        <v>146</v>
      </c>
      <c r="N71" s="21">
        <v>46260.52002314815</v>
      </c>
      <c r="O71" s="3" t="s">
        <v>47</v>
      </c>
      <c r="P71" s="21">
        <v>46260.700185185182</v>
      </c>
      <c r="Q71" s="3" t="s">
        <v>30</v>
      </c>
      <c r="R71" s="3" t="s">
        <v>30</v>
      </c>
      <c r="T71" s="24">
        <v>259.39999999999998</v>
      </c>
      <c r="U71" t="s">
        <v>184</v>
      </c>
    </row>
    <row r="72" spans="1:21" x14ac:dyDescent="0.25">
      <c r="A72" s="9">
        <v>51957</v>
      </c>
      <c r="B72" s="34" t="s">
        <v>693</v>
      </c>
      <c r="C72" s="4" t="s">
        <v>23</v>
      </c>
      <c r="D72" s="4" t="s">
        <v>24</v>
      </c>
      <c r="E72" s="4" t="s">
        <v>471</v>
      </c>
      <c r="F72" s="4">
        <v>22717</v>
      </c>
      <c r="G72" s="4" t="s">
        <v>423</v>
      </c>
      <c r="H72" s="4">
        <v>22741</v>
      </c>
      <c r="I72" s="4" t="s">
        <v>131</v>
      </c>
      <c r="J72" s="4" t="s">
        <v>1244</v>
      </c>
      <c r="K72" s="4" t="s">
        <v>28</v>
      </c>
      <c r="L72" s="4" t="s">
        <v>28</v>
      </c>
      <c r="M72" s="4" t="s">
        <v>423</v>
      </c>
      <c r="N72" s="19">
        <v>46260.517835648148</v>
      </c>
      <c r="O72" s="4" t="s">
        <v>33</v>
      </c>
      <c r="P72" s="19">
        <v>46265.370335648149</v>
      </c>
      <c r="Q72" s="4" t="s">
        <v>30</v>
      </c>
      <c r="R72" s="4" t="s">
        <v>29</v>
      </c>
      <c r="T72" s="24">
        <v>6987.6</v>
      </c>
      <c r="U72" t="s">
        <v>184</v>
      </c>
    </row>
    <row r="73" spans="1:21" x14ac:dyDescent="0.25">
      <c r="A73" s="11">
        <v>51956</v>
      </c>
      <c r="B73" s="35" t="s">
        <v>693</v>
      </c>
      <c r="C73" s="3" t="s">
        <v>23</v>
      </c>
      <c r="D73" s="3" t="s">
        <v>37</v>
      </c>
      <c r="E73" s="3" t="s">
        <v>792</v>
      </c>
      <c r="F73" s="3">
        <v>22953</v>
      </c>
      <c r="G73" s="3" t="s">
        <v>794</v>
      </c>
      <c r="H73" s="3">
        <v>25436</v>
      </c>
      <c r="I73" s="3" t="s">
        <v>796</v>
      </c>
      <c r="J73" s="3" t="s">
        <v>1245</v>
      </c>
      <c r="K73" s="3" t="s">
        <v>28</v>
      </c>
      <c r="L73" s="3" t="s">
        <v>28</v>
      </c>
      <c r="M73" s="3" t="s">
        <v>794</v>
      </c>
      <c r="N73" s="21">
        <v>46260.516759259262</v>
      </c>
      <c r="O73" s="3" t="s">
        <v>33</v>
      </c>
      <c r="P73" s="21">
        <v>46261.590810185182</v>
      </c>
      <c r="Q73" s="3" t="s">
        <v>30</v>
      </c>
      <c r="R73" s="3" t="s">
        <v>30</v>
      </c>
      <c r="T73" s="24">
        <v>1546.6</v>
      </c>
      <c r="U73" t="s">
        <v>184</v>
      </c>
    </row>
    <row r="74" spans="1:21" x14ac:dyDescent="0.25">
      <c r="A74" s="9">
        <v>51941</v>
      </c>
      <c r="B74" s="34" t="s">
        <v>693</v>
      </c>
      <c r="C74" s="4" t="s">
        <v>23</v>
      </c>
      <c r="D74" s="4" t="s">
        <v>38</v>
      </c>
      <c r="E74" s="4" t="s">
        <v>800</v>
      </c>
      <c r="F74" s="4">
        <v>23353</v>
      </c>
      <c r="G74" s="4" t="s">
        <v>74</v>
      </c>
      <c r="H74" s="4">
        <v>23260</v>
      </c>
      <c r="I74" s="4" t="s">
        <v>75</v>
      </c>
      <c r="J74" s="4" t="s">
        <v>1213</v>
      </c>
      <c r="K74" s="4" t="s">
        <v>28</v>
      </c>
      <c r="L74" s="4" t="s">
        <v>28</v>
      </c>
      <c r="M74" s="4" t="s">
        <v>74</v>
      </c>
      <c r="N74" s="19">
        <v>46260.479988425926</v>
      </c>
      <c r="O74" s="4" t="s">
        <v>47</v>
      </c>
      <c r="P74" s="19">
        <v>46261.361041666663</v>
      </c>
      <c r="Q74" s="4" t="s">
        <v>29</v>
      </c>
      <c r="R74" s="4" t="s">
        <v>29</v>
      </c>
      <c r="T74" s="24">
        <v>1268.7</v>
      </c>
      <c r="U74" t="s">
        <v>184</v>
      </c>
    </row>
    <row r="75" spans="1:21" x14ac:dyDescent="0.25">
      <c r="A75" s="11">
        <v>51938</v>
      </c>
      <c r="B75" s="35" t="s">
        <v>693</v>
      </c>
      <c r="C75" s="3" t="s">
        <v>23</v>
      </c>
      <c r="D75" s="3" t="s">
        <v>38</v>
      </c>
      <c r="E75" s="3" t="s">
        <v>116</v>
      </c>
      <c r="F75" s="3">
        <v>21475</v>
      </c>
      <c r="G75" s="3" t="s">
        <v>117</v>
      </c>
      <c r="H75" s="3">
        <v>21840</v>
      </c>
      <c r="I75" s="3" t="s">
        <v>164</v>
      </c>
      <c r="J75" s="3" t="s">
        <v>1246</v>
      </c>
      <c r="K75" s="3" t="s">
        <v>28</v>
      </c>
      <c r="L75" s="3" t="s">
        <v>28</v>
      </c>
      <c r="M75" s="3" t="s">
        <v>117</v>
      </c>
      <c r="N75" s="21">
        <v>46260.477627314816</v>
      </c>
      <c r="O75" s="3" t="s">
        <v>47</v>
      </c>
      <c r="P75" s="21">
        <v>46260.721504629626</v>
      </c>
      <c r="Q75" s="3" t="s">
        <v>29</v>
      </c>
      <c r="R75" s="3" t="s">
        <v>30</v>
      </c>
      <c r="T75" s="24">
        <v>351.2</v>
      </c>
      <c r="U75" t="s">
        <v>184</v>
      </c>
    </row>
    <row r="76" spans="1:21" x14ac:dyDescent="0.25">
      <c r="A76" s="9">
        <v>51927</v>
      </c>
      <c r="B76" s="34" t="s">
        <v>693</v>
      </c>
      <c r="C76" s="4" t="s">
        <v>23</v>
      </c>
      <c r="D76" s="4" t="s">
        <v>24</v>
      </c>
      <c r="E76" s="4" t="s">
        <v>4</v>
      </c>
      <c r="F76" s="4">
        <v>23492</v>
      </c>
      <c r="G76" s="4" t="s">
        <v>99</v>
      </c>
      <c r="H76" s="4">
        <v>18442</v>
      </c>
      <c r="I76" s="4" t="s">
        <v>100</v>
      </c>
      <c r="J76" s="4" t="s">
        <v>1247</v>
      </c>
      <c r="K76" s="4" t="s">
        <v>28</v>
      </c>
      <c r="L76" s="4" t="s">
        <v>28</v>
      </c>
      <c r="M76" s="4" t="s">
        <v>99</v>
      </c>
      <c r="N76" s="19">
        <v>46260.459548611114</v>
      </c>
      <c r="O76" s="4" t="s">
        <v>47</v>
      </c>
      <c r="P76" s="19">
        <v>46262.713796296295</v>
      </c>
      <c r="Q76" s="4" t="s">
        <v>29</v>
      </c>
      <c r="R76" s="4" t="s">
        <v>30</v>
      </c>
      <c r="T76" s="24">
        <v>3246.1</v>
      </c>
      <c r="U76" t="s">
        <v>184</v>
      </c>
    </row>
    <row r="77" spans="1:21" x14ac:dyDescent="0.25">
      <c r="A77" s="11">
        <v>51922</v>
      </c>
      <c r="B77" s="35" t="s">
        <v>693</v>
      </c>
      <c r="C77" s="3" t="s">
        <v>23</v>
      </c>
      <c r="D77" s="3" t="s">
        <v>24</v>
      </c>
      <c r="E77" s="3" t="s">
        <v>432</v>
      </c>
      <c r="F77" s="3">
        <v>23198</v>
      </c>
      <c r="G77" s="3" t="s">
        <v>434</v>
      </c>
      <c r="H77" s="3">
        <v>53435</v>
      </c>
      <c r="I77" s="3" t="s">
        <v>436</v>
      </c>
      <c r="J77" s="3" t="s">
        <v>1248</v>
      </c>
      <c r="K77" s="3" t="s">
        <v>28</v>
      </c>
      <c r="L77" s="3" t="s">
        <v>28</v>
      </c>
      <c r="M77" s="3" t="s">
        <v>436</v>
      </c>
      <c r="N77" s="21">
        <v>46260.440243055556</v>
      </c>
      <c r="O77" s="3" t="s">
        <v>47</v>
      </c>
      <c r="P77" s="21">
        <v>46261.339097222219</v>
      </c>
      <c r="Q77" s="3" t="s">
        <v>29</v>
      </c>
      <c r="R77" s="3" t="s">
        <v>29</v>
      </c>
      <c r="T77" s="24">
        <v>1294.3</v>
      </c>
      <c r="U77" t="s">
        <v>184</v>
      </c>
    </row>
    <row r="78" spans="1:21" x14ac:dyDescent="0.25">
      <c r="A78" s="9">
        <v>51921</v>
      </c>
      <c r="B78" s="34" t="s">
        <v>693</v>
      </c>
      <c r="C78" s="4" t="s">
        <v>23</v>
      </c>
      <c r="D78" s="4" t="s">
        <v>38</v>
      </c>
      <c r="E78" s="4" t="s">
        <v>113</v>
      </c>
      <c r="F78" s="4">
        <v>18608</v>
      </c>
      <c r="G78" s="4" t="s">
        <v>114</v>
      </c>
      <c r="H78" s="4">
        <v>23352</v>
      </c>
      <c r="I78" s="4" t="s">
        <v>115</v>
      </c>
      <c r="J78" s="4" t="s">
        <v>373</v>
      </c>
      <c r="K78" s="4" t="s">
        <v>28</v>
      </c>
      <c r="L78" s="4" t="s">
        <v>28</v>
      </c>
      <c r="M78" s="4" t="s">
        <v>114</v>
      </c>
      <c r="N78" s="19">
        <v>46260.4377662037</v>
      </c>
      <c r="O78" s="4" t="s">
        <v>695</v>
      </c>
      <c r="P78" s="19">
        <v>46260.714953703704</v>
      </c>
      <c r="Q78" s="4" t="s">
        <v>29</v>
      </c>
      <c r="R78" s="4" t="s">
        <v>30</v>
      </c>
      <c r="T78" s="24">
        <v>399.2</v>
      </c>
      <c r="U78" t="s">
        <v>184</v>
      </c>
    </row>
    <row r="79" spans="1:21" x14ac:dyDescent="0.25">
      <c r="A79" s="11">
        <v>51901</v>
      </c>
      <c r="B79" s="35" t="s">
        <v>693</v>
      </c>
      <c r="C79" s="3" t="s">
        <v>23</v>
      </c>
      <c r="D79" s="3" t="s">
        <v>24</v>
      </c>
      <c r="E79" s="3" t="s">
        <v>472</v>
      </c>
      <c r="F79" s="3">
        <v>13231</v>
      </c>
      <c r="G79" s="3" t="s">
        <v>428</v>
      </c>
      <c r="H79" s="3">
        <v>20964</v>
      </c>
      <c r="I79" s="3" t="s">
        <v>430</v>
      </c>
      <c r="J79" s="3" t="s">
        <v>1249</v>
      </c>
      <c r="K79" s="3" t="s">
        <v>28</v>
      </c>
      <c r="L79" s="3" t="s">
        <v>28</v>
      </c>
      <c r="M79" s="3" t="s">
        <v>430</v>
      </c>
      <c r="N79" s="21">
        <v>46260.395358796297</v>
      </c>
      <c r="O79" s="3" t="s">
        <v>47</v>
      </c>
      <c r="P79" s="21">
        <v>46260.690868055557</v>
      </c>
      <c r="Q79" s="3" t="s">
        <v>29</v>
      </c>
      <c r="R79" s="3" t="s">
        <v>30</v>
      </c>
      <c r="T79" s="24">
        <v>425.5</v>
      </c>
      <c r="U79" t="s">
        <v>184</v>
      </c>
    </row>
    <row r="80" spans="1:21" x14ac:dyDescent="0.25">
      <c r="A80" s="9">
        <v>51891</v>
      </c>
      <c r="B80" s="34" t="s">
        <v>693</v>
      </c>
      <c r="C80" s="4" t="s">
        <v>23</v>
      </c>
      <c r="D80" s="4" t="s">
        <v>24</v>
      </c>
      <c r="E80" s="4" t="s">
        <v>822</v>
      </c>
      <c r="F80" s="4">
        <v>20999</v>
      </c>
      <c r="G80" s="4" t="s">
        <v>824</v>
      </c>
      <c r="H80" s="4">
        <v>10339</v>
      </c>
      <c r="I80" s="4" t="s">
        <v>826</v>
      </c>
      <c r="J80" s="4" t="s">
        <v>373</v>
      </c>
      <c r="K80" s="4" t="s">
        <v>28</v>
      </c>
      <c r="L80" s="4" t="s">
        <v>28</v>
      </c>
      <c r="M80" s="4" t="s">
        <v>824</v>
      </c>
      <c r="N80" s="19">
        <v>46260.376145833332</v>
      </c>
      <c r="O80" s="4" t="s">
        <v>47</v>
      </c>
      <c r="P80" s="19">
        <v>46260.709444444445</v>
      </c>
      <c r="Q80" s="4" t="s">
        <v>29</v>
      </c>
      <c r="R80" s="4" t="s">
        <v>30</v>
      </c>
      <c r="T80" s="24">
        <v>480</v>
      </c>
      <c r="U80" t="s">
        <v>184</v>
      </c>
    </row>
    <row r="81" spans="1:21" x14ac:dyDescent="0.25">
      <c r="A81" s="11">
        <v>51885</v>
      </c>
      <c r="B81" s="35" t="s">
        <v>693</v>
      </c>
      <c r="C81" s="3" t="s">
        <v>23</v>
      </c>
      <c r="D81" s="3" t="s">
        <v>24</v>
      </c>
      <c r="E81" s="3" t="s">
        <v>830</v>
      </c>
      <c r="F81" s="3">
        <v>24237</v>
      </c>
      <c r="G81" s="3" t="s">
        <v>832</v>
      </c>
      <c r="H81" s="3">
        <v>24160</v>
      </c>
      <c r="I81" s="3" t="s">
        <v>834</v>
      </c>
      <c r="J81" s="3" t="s">
        <v>1250</v>
      </c>
      <c r="K81" s="3" t="s">
        <v>28</v>
      </c>
      <c r="L81" s="3" t="s">
        <v>28</v>
      </c>
      <c r="M81" s="3" t="s">
        <v>549</v>
      </c>
      <c r="N81" s="21">
        <v>46260.368935185186</v>
      </c>
      <c r="O81" s="3" t="s">
        <v>47</v>
      </c>
      <c r="P81" s="21">
        <v>46260.378171296295</v>
      </c>
      <c r="Q81" s="3" t="s">
        <v>29</v>
      </c>
      <c r="R81" s="3" t="s">
        <v>29</v>
      </c>
      <c r="S81" t="s">
        <v>28</v>
      </c>
      <c r="T81" s="24">
        <v>13.3</v>
      </c>
      <c r="U81" t="s">
        <v>28</v>
      </c>
    </row>
    <row r="82" spans="1:21" x14ac:dyDescent="0.25">
      <c r="A82" s="9">
        <v>51865</v>
      </c>
      <c r="B82" s="34" t="s">
        <v>693</v>
      </c>
      <c r="C82" s="4" t="s">
        <v>23</v>
      </c>
      <c r="D82" s="4" t="s">
        <v>37</v>
      </c>
      <c r="E82" s="4" t="s">
        <v>1004</v>
      </c>
      <c r="F82" s="4">
        <v>19037</v>
      </c>
      <c r="G82" s="4" t="s">
        <v>405</v>
      </c>
      <c r="H82" s="4">
        <v>25973</v>
      </c>
      <c r="I82" s="4" t="s">
        <v>95</v>
      </c>
      <c r="J82" s="4" t="s">
        <v>1251</v>
      </c>
      <c r="K82" s="4" t="s">
        <v>43</v>
      </c>
      <c r="L82" s="4" t="s">
        <v>28</v>
      </c>
      <c r="M82" s="4" t="s">
        <v>405</v>
      </c>
      <c r="N82" s="19">
        <v>46260.342743055553</v>
      </c>
      <c r="O82" s="4" t="s">
        <v>47</v>
      </c>
      <c r="P82" s="19">
        <v>46260.346875000003</v>
      </c>
      <c r="Q82" s="4" t="s">
        <v>29</v>
      </c>
      <c r="R82" s="4" t="s">
        <v>29</v>
      </c>
      <c r="S82" t="s">
        <v>28</v>
      </c>
      <c r="T82" s="24">
        <v>6</v>
      </c>
      <c r="U82" t="s">
        <v>28</v>
      </c>
    </row>
    <row r="83" spans="1:21" x14ac:dyDescent="0.25">
      <c r="A83" s="11">
        <v>51860</v>
      </c>
      <c r="B83" s="35" t="s">
        <v>693</v>
      </c>
      <c r="C83" s="3" t="s">
        <v>23</v>
      </c>
      <c r="D83" s="3" t="s">
        <v>24</v>
      </c>
      <c r="E83" s="3" t="s">
        <v>842</v>
      </c>
      <c r="F83" s="3">
        <v>24879</v>
      </c>
      <c r="G83" s="3" t="s">
        <v>844</v>
      </c>
      <c r="H83" s="3">
        <v>19483</v>
      </c>
      <c r="I83" s="3" t="s">
        <v>846</v>
      </c>
      <c r="J83" s="3" t="s">
        <v>1207</v>
      </c>
      <c r="K83" s="3" t="s">
        <v>28</v>
      </c>
      <c r="L83" s="3" t="s">
        <v>28</v>
      </c>
      <c r="M83" s="3" t="s">
        <v>846</v>
      </c>
      <c r="N83" s="21">
        <v>46260.332129629627</v>
      </c>
      <c r="O83" s="3" t="s">
        <v>47</v>
      </c>
      <c r="P83" s="21">
        <v>46260.347372685188</v>
      </c>
      <c r="Q83" s="3" t="s">
        <v>29</v>
      </c>
      <c r="R83" s="3" t="s">
        <v>29</v>
      </c>
      <c r="S83" t="s">
        <v>28</v>
      </c>
      <c r="T83" s="24">
        <v>22</v>
      </c>
      <c r="U83" t="s">
        <v>28</v>
      </c>
    </row>
    <row r="84" spans="1:21" x14ac:dyDescent="0.25">
      <c r="A84" s="10">
        <v>51853</v>
      </c>
      <c r="B84" s="36" t="s">
        <v>693</v>
      </c>
      <c r="C84" s="5" t="s">
        <v>23</v>
      </c>
      <c r="D84" s="5" t="s">
        <v>24</v>
      </c>
      <c r="E84" s="5" t="s">
        <v>850</v>
      </c>
      <c r="F84" s="5">
        <v>20142</v>
      </c>
      <c r="G84" s="5" t="s">
        <v>852</v>
      </c>
      <c r="H84" s="5">
        <v>23087</v>
      </c>
      <c r="I84" s="5" t="s">
        <v>854</v>
      </c>
      <c r="J84" s="5" t="s">
        <v>1252</v>
      </c>
      <c r="K84" s="5" t="s">
        <v>28</v>
      </c>
      <c r="L84" s="5" t="s">
        <v>28</v>
      </c>
      <c r="M84" s="5" t="s">
        <v>131</v>
      </c>
      <c r="N84" s="20">
        <v>46260.325520833336</v>
      </c>
      <c r="O84" s="5" t="s">
        <v>33</v>
      </c>
      <c r="P84" s="20">
        <v>46261.590011574073</v>
      </c>
      <c r="Q84" s="5" t="s">
        <v>29</v>
      </c>
      <c r="R84" s="5" t="s">
        <v>30</v>
      </c>
      <c r="S84" s="6"/>
      <c r="T84" s="24">
        <v>1820.9</v>
      </c>
      <c r="U84" t="s">
        <v>184</v>
      </c>
    </row>
    <row r="85" spans="1:21" x14ac:dyDescent="0.25">
      <c r="A85" s="11">
        <v>51850</v>
      </c>
      <c r="B85" s="35" t="s">
        <v>693</v>
      </c>
      <c r="C85" s="3" t="s">
        <v>23</v>
      </c>
      <c r="D85" s="3" t="s">
        <v>24</v>
      </c>
      <c r="E85" s="3" t="s">
        <v>469</v>
      </c>
      <c r="F85" s="3">
        <v>53407</v>
      </c>
      <c r="G85" s="3" t="s">
        <v>400</v>
      </c>
      <c r="H85" s="3">
        <v>10653</v>
      </c>
      <c r="I85" s="3" t="s">
        <v>402</v>
      </c>
      <c r="J85" s="3" t="s">
        <v>1253</v>
      </c>
      <c r="K85" s="3" t="s">
        <v>28</v>
      </c>
      <c r="L85" s="3" t="s">
        <v>28</v>
      </c>
      <c r="M85" s="3" t="s">
        <v>402</v>
      </c>
      <c r="N85" s="21">
        <v>46260.324097222219</v>
      </c>
      <c r="O85" s="3" t="s">
        <v>47</v>
      </c>
      <c r="P85" s="21">
        <v>46261.337905092594</v>
      </c>
      <c r="Q85" s="3" t="s">
        <v>29</v>
      </c>
      <c r="R85" s="3" t="s">
        <v>29</v>
      </c>
      <c r="T85" s="24">
        <v>1459.9</v>
      </c>
      <c r="U85" t="s">
        <v>184</v>
      </c>
    </row>
    <row r="86" spans="1:21" x14ac:dyDescent="0.25">
      <c r="A86" s="9">
        <v>51845</v>
      </c>
      <c r="B86" s="34" t="s">
        <v>693</v>
      </c>
      <c r="C86" s="4" t="s">
        <v>23</v>
      </c>
      <c r="D86" s="4" t="s">
        <v>24</v>
      </c>
      <c r="E86" s="4" t="s">
        <v>862</v>
      </c>
      <c r="F86" s="4">
        <v>25861</v>
      </c>
      <c r="G86" s="4" t="s">
        <v>864</v>
      </c>
      <c r="H86" s="4">
        <v>25764</v>
      </c>
      <c r="I86" s="4" t="s">
        <v>866</v>
      </c>
      <c r="J86" s="4" t="s">
        <v>374</v>
      </c>
      <c r="K86" s="4" t="s">
        <v>28</v>
      </c>
      <c r="L86" s="4" t="s">
        <v>28</v>
      </c>
      <c r="M86" s="4" t="s">
        <v>507</v>
      </c>
      <c r="N86" s="19">
        <v>46260.321597222224</v>
      </c>
      <c r="O86" s="4" t="s">
        <v>47</v>
      </c>
      <c r="P86" s="19">
        <v>46260.334652777776</v>
      </c>
      <c r="Q86" s="4" t="s">
        <v>29</v>
      </c>
      <c r="R86" s="4" t="s">
        <v>29</v>
      </c>
      <c r="S86" t="s">
        <v>28</v>
      </c>
      <c r="T86" s="24">
        <v>18.8</v>
      </c>
      <c r="U86" t="s">
        <v>28</v>
      </c>
    </row>
    <row r="87" spans="1:21" x14ac:dyDescent="0.25">
      <c r="A87" s="10">
        <v>51840</v>
      </c>
      <c r="B87" s="36" t="s">
        <v>693</v>
      </c>
      <c r="C87" s="5" t="s">
        <v>23</v>
      </c>
      <c r="D87" s="5" t="s">
        <v>24</v>
      </c>
      <c r="E87" s="5" t="s">
        <v>870</v>
      </c>
      <c r="F87" s="5">
        <v>9020</v>
      </c>
      <c r="G87" s="5" t="s">
        <v>872</v>
      </c>
      <c r="H87" s="5">
        <v>24163</v>
      </c>
      <c r="I87" s="5" t="s">
        <v>874</v>
      </c>
      <c r="J87" s="5" t="s">
        <v>1254</v>
      </c>
      <c r="K87" s="5" t="s">
        <v>28</v>
      </c>
      <c r="L87" s="5" t="s">
        <v>28</v>
      </c>
      <c r="M87" s="5" t="s">
        <v>872</v>
      </c>
      <c r="N87" s="20">
        <v>46260.318611111114</v>
      </c>
      <c r="O87" s="5" t="s">
        <v>47</v>
      </c>
      <c r="P87" s="20">
        <v>46260.350069444445</v>
      </c>
      <c r="Q87" s="5" t="s">
        <v>29</v>
      </c>
      <c r="R87" s="5" t="s">
        <v>29</v>
      </c>
      <c r="S87" s="6" t="s">
        <v>28</v>
      </c>
      <c r="T87" s="24">
        <v>45.3</v>
      </c>
      <c r="U87" t="s">
        <v>28</v>
      </c>
    </row>
    <row r="88" spans="1:21" x14ac:dyDescent="0.25">
      <c r="A88" s="9">
        <v>51832</v>
      </c>
      <c r="B88" s="34" t="s">
        <v>693</v>
      </c>
      <c r="C88" s="4" t="s">
        <v>23</v>
      </c>
      <c r="D88" s="4" t="s">
        <v>24</v>
      </c>
      <c r="E88" s="4" t="s">
        <v>470</v>
      </c>
      <c r="F88" s="4">
        <v>21004</v>
      </c>
      <c r="G88" s="4" t="s">
        <v>146</v>
      </c>
      <c r="H88" s="4">
        <v>22954</v>
      </c>
      <c r="I88" s="4" t="s">
        <v>147</v>
      </c>
      <c r="J88" s="4" t="s">
        <v>1255</v>
      </c>
      <c r="K88" s="4" t="s">
        <v>28</v>
      </c>
      <c r="L88" s="4" t="s">
        <v>28</v>
      </c>
      <c r="M88" s="4" t="s">
        <v>146</v>
      </c>
      <c r="N88" s="19">
        <v>46260.29482638889</v>
      </c>
      <c r="O88" s="4" t="s">
        <v>33</v>
      </c>
      <c r="P88" s="19">
        <v>46260.321666666663</v>
      </c>
      <c r="Q88" s="4" t="s">
        <v>29</v>
      </c>
      <c r="R88" s="4" t="s">
        <v>29</v>
      </c>
      <c r="S88" t="s">
        <v>28</v>
      </c>
      <c r="T88" s="24">
        <v>38.6</v>
      </c>
      <c r="U88" t="s">
        <v>28</v>
      </c>
    </row>
    <row r="89" spans="1:21" x14ac:dyDescent="0.25">
      <c r="A89" s="11">
        <v>51823</v>
      </c>
      <c r="B89" s="35" t="s">
        <v>881</v>
      </c>
      <c r="C89" s="3" t="s">
        <v>23</v>
      </c>
      <c r="D89" s="3" t="s">
        <v>24</v>
      </c>
      <c r="E89" s="3" t="s">
        <v>123</v>
      </c>
      <c r="F89" s="3">
        <v>23149</v>
      </c>
      <c r="G89" s="3" t="s">
        <v>124</v>
      </c>
      <c r="H89" s="3">
        <v>20997</v>
      </c>
      <c r="I89" s="3" t="s">
        <v>125</v>
      </c>
      <c r="J89" s="3" t="s">
        <v>1256</v>
      </c>
      <c r="K89" s="3" t="s">
        <v>28</v>
      </c>
      <c r="L89" s="3" t="s">
        <v>28</v>
      </c>
      <c r="M89" s="3" t="s">
        <v>125</v>
      </c>
      <c r="N89" s="21">
        <v>46259.73060185185</v>
      </c>
      <c r="O89" s="3" t="s">
        <v>47</v>
      </c>
      <c r="P89" s="21">
        <v>46259.739016203705</v>
      </c>
      <c r="Q89" s="3" t="s">
        <v>30</v>
      </c>
      <c r="R89" s="3" t="s">
        <v>30</v>
      </c>
      <c r="T89" s="24">
        <v>12.1</v>
      </c>
      <c r="U89" t="s">
        <v>184</v>
      </c>
    </row>
    <row r="90" spans="1:21" x14ac:dyDescent="0.25">
      <c r="A90" s="9">
        <v>51820</v>
      </c>
      <c r="B90" s="34" t="s">
        <v>881</v>
      </c>
      <c r="C90" s="4" t="s">
        <v>23</v>
      </c>
      <c r="D90" s="4" t="s">
        <v>24</v>
      </c>
      <c r="E90" s="4" t="s">
        <v>1193</v>
      </c>
      <c r="F90" s="4">
        <v>21946</v>
      </c>
      <c r="G90" s="4" t="s">
        <v>581</v>
      </c>
      <c r="H90" s="4">
        <v>22739</v>
      </c>
      <c r="I90" s="4" t="s">
        <v>583</v>
      </c>
      <c r="J90" s="4" t="s">
        <v>1257</v>
      </c>
      <c r="K90" s="4" t="s">
        <v>28</v>
      </c>
      <c r="L90" s="4" t="s">
        <v>28</v>
      </c>
      <c r="M90" s="4" t="s">
        <v>583</v>
      </c>
      <c r="N90" s="19">
        <v>46259.71298611111</v>
      </c>
      <c r="O90" s="4" t="s">
        <v>47</v>
      </c>
      <c r="P90" s="19">
        <v>46259.719259259262</v>
      </c>
      <c r="Q90" s="4" t="s">
        <v>30</v>
      </c>
      <c r="R90" s="4" t="s">
        <v>30</v>
      </c>
      <c r="T90" s="24">
        <v>9</v>
      </c>
      <c r="U90" t="s">
        <v>184</v>
      </c>
    </row>
    <row r="91" spans="1:21" x14ac:dyDescent="0.25">
      <c r="A91" s="11">
        <v>51810</v>
      </c>
      <c r="B91" s="35" t="s">
        <v>881</v>
      </c>
      <c r="C91" s="3" t="s">
        <v>23</v>
      </c>
      <c r="D91" s="3" t="s">
        <v>24</v>
      </c>
      <c r="E91" s="3" t="s">
        <v>1193</v>
      </c>
      <c r="F91" s="3">
        <v>21946</v>
      </c>
      <c r="G91" s="3" t="s">
        <v>581</v>
      </c>
      <c r="H91" s="3">
        <v>22739</v>
      </c>
      <c r="I91" s="3" t="s">
        <v>583</v>
      </c>
      <c r="J91" s="3" t="s">
        <v>1258</v>
      </c>
      <c r="K91" s="3" t="s">
        <v>43</v>
      </c>
      <c r="L91" s="3" t="s">
        <v>28</v>
      </c>
      <c r="M91" s="3" t="s">
        <v>583</v>
      </c>
      <c r="N91" s="21">
        <v>46259.681886574072</v>
      </c>
      <c r="O91" s="3" t="s">
        <v>47</v>
      </c>
      <c r="P91" s="21">
        <v>46259.696631944447</v>
      </c>
      <c r="Q91" s="3" t="s">
        <v>30</v>
      </c>
      <c r="R91" s="3" t="s">
        <v>30</v>
      </c>
      <c r="T91" s="24">
        <v>21.2</v>
      </c>
      <c r="U91" t="s">
        <v>184</v>
      </c>
    </row>
    <row r="92" spans="1:21" x14ac:dyDescent="0.25">
      <c r="A92" s="9">
        <v>51798</v>
      </c>
      <c r="B92" s="34" t="s">
        <v>881</v>
      </c>
      <c r="C92" s="4" t="s">
        <v>23</v>
      </c>
      <c r="D92" s="4" t="s">
        <v>37</v>
      </c>
      <c r="E92" s="4" t="s">
        <v>515</v>
      </c>
      <c r="F92" s="4">
        <v>9893</v>
      </c>
      <c r="G92" s="4" t="s">
        <v>70</v>
      </c>
      <c r="H92" s="4">
        <v>22731</v>
      </c>
      <c r="I92" s="4" t="s">
        <v>71</v>
      </c>
      <c r="J92" s="4" t="s">
        <v>1259</v>
      </c>
      <c r="K92" s="4" t="s">
        <v>28</v>
      </c>
      <c r="L92" s="4" t="s">
        <v>28</v>
      </c>
      <c r="M92" s="4" t="s">
        <v>70</v>
      </c>
      <c r="N92" s="19">
        <v>46259.626296296294</v>
      </c>
      <c r="O92" s="4" t="s">
        <v>47</v>
      </c>
      <c r="P92" s="19">
        <v>46259.728506944448</v>
      </c>
      <c r="Q92" s="4" t="s">
        <v>30</v>
      </c>
      <c r="R92" s="4" t="s">
        <v>30</v>
      </c>
      <c r="T92" s="24">
        <v>147.19999999999999</v>
      </c>
      <c r="U92" t="s">
        <v>184</v>
      </c>
    </row>
    <row r="93" spans="1:21" x14ac:dyDescent="0.25">
      <c r="A93" s="11">
        <v>51797</v>
      </c>
      <c r="B93" s="35" t="s">
        <v>881</v>
      </c>
      <c r="C93" s="3" t="s">
        <v>23</v>
      </c>
      <c r="D93" s="3" t="s">
        <v>24</v>
      </c>
      <c r="E93" s="3" t="s">
        <v>160</v>
      </c>
      <c r="F93" s="3">
        <v>6763</v>
      </c>
      <c r="G93" s="3" t="s">
        <v>129</v>
      </c>
      <c r="H93" s="3">
        <v>13042</v>
      </c>
      <c r="I93" s="3" t="s">
        <v>130</v>
      </c>
      <c r="J93" s="3" t="s">
        <v>1260</v>
      </c>
      <c r="K93" s="3" t="s">
        <v>28</v>
      </c>
      <c r="L93" s="3" t="s">
        <v>28</v>
      </c>
      <c r="M93" s="3" t="s">
        <v>129</v>
      </c>
      <c r="N93" s="21">
        <v>46259.625150462962</v>
      </c>
      <c r="O93" s="3" t="s">
        <v>33</v>
      </c>
      <c r="P93" s="21">
        <v>46260.35670138889</v>
      </c>
      <c r="Q93" s="3" t="s">
        <v>30</v>
      </c>
      <c r="R93" s="3" t="s">
        <v>29</v>
      </c>
      <c r="T93" s="24">
        <v>1053.4000000000001</v>
      </c>
      <c r="U93" t="s">
        <v>184</v>
      </c>
    </row>
    <row r="94" spans="1:21" x14ac:dyDescent="0.25">
      <c r="A94" s="9">
        <v>51795</v>
      </c>
      <c r="B94" s="34" t="s">
        <v>881</v>
      </c>
      <c r="C94" s="4" t="s">
        <v>23</v>
      </c>
      <c r="D94" s="4" t="s">
        <v>24</v>
      </c>
      <c r="E94" s="4" t="s">
        <v>107</v>
      </c>
      <c r="F94" s="4">
        <v>21630</v>
      </c>
      <c r="G94" s="4" t="s">
        <v>108</v>
      </c>
      <c r="H94" s="4">
        <v>21979</v>
      </c>
      <c r="I94" s="4" t="s">
        <v>109</v>
      </c>
      <c r="J94" s="4" t="s">
        <v>1261</v>
      </c>
      <c r="K94" s="4" t="s">
        <v>43</v>
      </c>
      <c r="L94" s="4" t="s">
        <v>28</v>
      </c>
      <c r="M94" s="4" t="s">
        <v>109</v>
      </c>
      <c r="N94" s="19">
        <v>46259.621458333335</v>
      </c>
      <c r="O94" s="4" t="s">
        <v>47</v>
      </c>
      <c r="P94" s="19">
        <v>46260.354733796295</v>
      </c>
      <c r="Q94" s="4" t="s">
        <v>30</v>
      </c>
      <c r="R94" s="4" t="s">
        <v>29</v>
      </c>
      <c r="T94" s="24">
        <v>1055.9000000000001</v>
      </c>
      <c r="U94" t="s">
        <v>184</v>
      </c>
    </row>
    <row r="95" spans="1:21" x14ac:dyDescent="0.25">
      <c r="A95" s="11">
        <v>51792</v>
      </c>
      <c r="B95" s="35" t="s">
        <v>881</v>
      </c>
      <c r="C95" s="3" t="s">
        <v>23</v>
      </c>
      <c r="D95" s="3" t="s">
        <v>38</v>
      </c>
      <c r="E95" s="3" t="s">
        <v>62</v>
      </c>
      <c r="F95" s="3">
        <v>19049</v>
      </c>
      <c r="G95" s="3" t="s">
        <v>63</v>
      </c>
      <c r="H95" s="3">
        <v>19905</v>
      </c>
      <c r="I95" s="3" t="s">
        <v>64</v>
      </c>
      <c r="J95" s="3" t="s">
        <v>1262</v>
      </c>
      <c r="K95" s="3" t="s">
        <v>28</v>
      </c>
      <c r="L95" s="3" t="s">
        <v>28</v>
      </c>
      <c r="M95" s="3" t="s">
        <v>64</v>
      </c>
      <c r="N95" s="21">
        <v>46259.615972222222</v>
      </c>
      <c r="O95" s="3" t="s">
        <v>47</v>
      </c>
      <c r="P95" s="21">
        <v>46260.352488425924</v>
      </c>
      <c r="Q95" s="3" t="s">
        <v>30</v>
      </c>
      <c r="R95" s="3" t="s">
        <v>29</v>
      </c>
      <c r="T95" s="24">
        <v>1060.5999999999999</v>
      </c>
      <c r="U95" t="s">
        <v>184</v>
      </c>
    </row>
    <row r="96" spans="1:21" x14ac:dyDescent="0.25">
      <c r="A96" s="9">
        <v>51791</v>
      </c>
      <c r="B96" s="34" t="s">
        <v>881</v>
      </c>
      <c r="C96" s="4" t="s">
        <v>23</v>
      </c>
      <c r="D96" s="4" t="s">
        <v>24</v>
      </c>
      <c r="E96" s="4" t="s">
        <v>84</v>
      </c>
      <c r="F96" s="4">
        <v>18059</v>
      </c>
      <c r="G96" s="4" t="s">
        <v>85</v>
      </c>
      <c r="H96" s="4">
        <v>23357</v>
      </c>
      <c r="I96" s="4" t="s">
        <v>86</v>
      </c>
      <c r="J96" s="4" t="s">
        <v>1263</v>
      </c>
      <c r="K96" s="4" t="s">
        <v>28</v>
      </c>
      <c r="L96" s="4" t="s">
        <v>28</v>
      </c>
      <c r="M96" s="4" t="s">
        <v>85</v>
      </c>
      <c r="N96" s="19">
        <v>46259.613344907404</v>
      </c>
      <c r="O96" s="4" t="s">
        <v>47</v>
      </c>
      <c r="P96" s="19">
        <v>46260.325335648151</v>
      </c>
      <c r="Q96" s="4" t="s">
        <v>30</v>
      </c>
      <c r="R96" s="4" t="s">
        <v>29</v>
      </c>
      <c r="T96" s="24">
        <v>1025.3</v>
      </c>
      <c r="U96" t="s">
        <v>184</v>
      </c>
    </row>
    <row r="97" spans="1:21" x14ac:dyDescent="0.25">
      <c r="A97" s="11">
        <v>51788</v>
      </c>
      <c r="B97" s="35" t="s">
        <v>881</v>
      </c>
      <c r="C97" s="3" t="s">
        <v>23</v>
      </c>
      <c r="D97" s="3" t="s">
        <v>37</v>
      </c>
      <c r="E97" s="3" t="s">
        <v>909</v>
      </c>
      <c r="F97" s="3">
        <v>24767</v>
      </c>
      <c r="G97" s="3" t="s">
        <v>911</v>
      </c>
      <c r="H97" s="3">
        <v>24794</v>
      </c>
      <c r="I97" s="3" t="s">
        <v>913</v>
      </c>
      <c r="J97" s="3" t="s">
        <v>1264</v>
      </c>
      <c r="K97" s="3" t="s">
        <v>28</v>
      </c>
      <c r="L97" s="3" t="s">
        <v>28</v>
      </c>
      <c r="M97" s="3" t="s">
        <v>911</v>
      </c>
      <c r="N97" s="21">
        <v>46259.606423611112</v>
      </c>
      <c r="O97" s="3" t="s">
        <v>47</v>
      </c>
      <c r="P97" s="21">
        <v>46259.725023148145</v>
      </c>
      <c r="Q97" s="3" t="s">
        <v>30</v>
      </c>
      <c r="R97" s="3" t="s">
        <v>30</v>
      </c>
      <c r="T97" s="24">
        <v>170.8</v>
      </c>
      <c r="U97" t="s">
        <v>184</v>
      </c>
    </row>
    <row r="98" spans="1:21" x14ac:dyDescent="0.25">
      <c r="A98" s="9">
        <v>51787</v>
      </c>
      <c r="B98" s="34" t="s">
        <v>881</v>
      </c>
      <c r="C98" s="4" t="s">
        <v>23</v>
      </c>
      <c r="D98" s="4" t="s">
        <v>24</v>
      </c>
      <c r="E98" s="4" t="s">
        <v>541</v>
      </c>
      <c r="F98" s="4">
        <v>17448</v>
      </c>
      <c r="G98" s="4" t="s">
        <v>56</v>
      </c>
      <c r="H98" s="4">
        <v>19473</v>
      </c>
      <c r="I98" s="4" t="s">
        <v>57</v>
      </c>
      <c r="J98" s="4" t="s">
        <v>1265</v>
      </c>
      <c r="K98" s="4" t="s">
        <v>28</v>
      </c>
      <c r="L98" s="4" t="s">
        <v>28</v>
      </c>
      <c r="M98" s="4" t="s">
        <v>57</v>
      </c>
      <c r="N98" s="19">
        <v>46259.605902777781</v>
      </c>
      <c r="O98" s="4" t="s">
        <v>47</v>
      </c>
      <c r="P98" s="19">
        <v>46259.697604166664</v>
      </c>
      <c r="Q98" s="4" t="s">
        <v>30</v>
      </c>
      <c r="R98" s="4" t="s">
        <v>30</v>
      </c>
      <c r="T98" s="24">
        <v>132</v>
      </c>
      <c r="U98" t="s">
        <v>184</v>
      </c>
    </row>
    <row r="99" spans="1:21" x14ac:dyDescent="0.25">
      <c r="A99" s="11">
        <v>51785</v>
      </c>
      <c r="B99" s="35" t="s">
        <v>881</v>
      </c>
      <c r="C99" s="3" t="s">
        <v>23</v>
      </c>
      <c r="D99" s="3" t="s">
        <v>24</v>
      </c>
      <c r="E99" s="3" t="s">
        <v>123</v>
      </c>
      <c r="F99" s="3">
        <v>23149</v>
      </c>
      <c r="G99" s="3" t="s">
        <v>124</v>
      </c>
      <c r="H99" s="3">
        <v>20997</v>
      </c>
      <c r="I99" s="3" t="s">
        <v>125</v>
      </c>
      <c r="J99" s="3" t="s">
        <v>1266</v>
      </c>
      <c r="K99" s="3" t="s">
        <v>28</v>
      </c>
      <c r="L99" s="3" t="s">
        <v>28</v>
      </c>
      <c r="M99" s="3" t="s">
        <v>125</v>
      </c>
      <c r="N99" s="21">
        <v>46259.601817129631</v>
      </c>
      <c r="O99" s="3" t="s">
        <v>47</v>
      </c>
      <c r="P99" s="21">
        <v>46259.715601851851</v>
      </c>
      <c r="Q99" s="3" t="s">
        <v>30</v>
      </c>
      <c r="R99" s="3" t="s">
        <v>30</v>
      </c>
      <c r="T99" s="24">
        <v>163.80000000000001</v>
      </c>
      <c r="U99" t="s">
        <v>184</v>
      </c>
    </row>
    <row r="100" spans="1:21" x14ac:dyDescent="0.25">
      <c r="A100" s="9">
        <v>51784</v>
      </c>
      <c r="B100" s="34" t="s">
        <v>881</v>
      </c>
      <c r="C100" s="4" t="s">
        <v>23</v>
      </c>
      <c r="D100" s="4" t="s">
        <v>38</v>
      </c>
      <c r="E100" s="4" t="s">
        <v>116</v>
      </c>
      <c r="F100" s="4">
        <v>21475</v>
      </c>
      <c r="G100" s="4" t="s">
        <v>117</v>
      </c>
      <c r="H100" s="4">
        <v>21840</v>
      </c>
      <c r="I100" s="4" t="s">
        <v>164</v>
      </c>
      <c r="J100" s="4" t="s">
        <v>1267</v>
      </c>
      <c r="K100" s="4" t="s">
        <v>28</v>
      </c>
      <c r="L100" s="4" t="s">
        <v>28</v>
      </c>
      <c r="M100" s="4" t="s">
        <v>117</v>
      </c>
      <c r="N100" s="19">
        <v>46259.601331018515</v>
      </c>
      <c r="O100" s="4" t="s">
        <v>47</v>
      </c>
      <c r="P100" s="19">
        <v>46259.726643518516</v>
      </c>
      <c r="Q100" s="4" t="s">
        <v>30</v>
      </c>
      <c r="R100" s="4" t="s">
        <v>30</v>
      </c>
      <c r="T100" s="24">
        <v>180.5</v>
      </c>
      <c r="U100" t="s">
        <v>184</v>
      </c>
    </row>
    <row r="101" spans="1:21" x14ac:dyDescent="0.25">
      <c r="A101" s="11">
        <v>51783</v>
      </c>
      <c r="B101" s="35" t="s">
        <v>881</v>
      </c>
      <c r="C101" s="3" t="s">
        <v>23</v>
      </c>
      <c r="D101" s="3" t="s">
        <v>38</v>
      </c>
      <c r="E101" s="3" t="s">
        <v>926</v>
      </c>
      <c r="F101" s="3">
        <v>24229</v>
      </c>
      <c r="G101" s="3" t="s">
        <v>139</v>
      </c>
      <c r="H101" s="3">
        <v>24875</v>
      </c>
      <c r="I101" s="3" t="s">
        <v>425</v>
      </c>
      <c r="J101" s="3" t="s">
        <v>1268</v>
      </c>
      <c r="K101" s="3" t="s">
        <v>28</v>
      </c>
      <c r="L101" s="3" t="s">
        <v>28</v>
      </c>
      <c r="M101" s="3" t="s">
        <v>139</v>
      </c>
      <c r="N101" s="21">
        <v>46259.601261574076</v>
      </c>
      <c r="O101" s="3" t="s">
        <v>33</v>
      </c>
      <c r="P101" s="21">
        <v>46259.732141203705</v>
      </c>
      <c r="Q101" s="3" t="s">
        <v>30</v>
      </c>
      <c r="R101" s="3" t="s">
        <v>30</v>
      </c>
      <c r="T101" s="24">
        <v>188.5</v>
      </c>
      <c r="U101" t="s">
        <v>184</v>
      </c>
    </row>
    <row r="102" spans="1:21" x14ac:dyDescent="0.25">
      <c r="A102" s="9">
        <v>51782</v>
      </c>
      <c r="B102" s="34" t="s">
        <v>881</v>
      </c>
      <c r="C102" s="4" t="s">
        <v>23</v>
      </c>
      <c r="D102" s="4" t="s">
        <v>38</v>
      </c>
      <c r="E102" s="4" t="s">
        <v>930</v>
      </c>
      <c r="F102" s="4">
        <v>12445</v>
      </c>
      <c r="G102" s="4" t="s">
        <v>45</v>
      </c>
      <c r="H102" s="4">
        <v>10613</v>
      </c>
      <c r="I102" s="4" t="s">
        <v>46</v>
      </c>
      <c r="J102" s="4" t="s">
        <v>1269</v>
      </c>
      <c r="K102" s="4" t="s">
        <v>28</v>
      </c>
      <c r="L102" s="4" t="s">
        <v>28</v>
      </c>
      <c r="M102" s="4" t="s">
        <v>45</v>
      </c>
      <c r="N102" s="19">
        <v>46259.590370370373</v>
      </c>
      <c r="O102" s="4" t="s">
        <v>47</v>
      </c>
      <c r="P102" s="19">
        <v>46259.671006944445</v>
      </c>
      <c r="Q102" s="4" t="s">
        <v>30</v>
      </c>
      <c r="R102" s="4" t="s">
        <v>30</v>
      </c>
      <c r="T102" s="24">
        <v>116.1</v>
      </c>
      <c r="U102" t="s">
        <v>184</v>
      </c>
    </row>
    <row r="103" spans="1:21" x14ac:dyDescent="0.25">
      <c r="A103" s="11">
        <v>51780</v>
      </c>
      <c r="B103" s="35" t="s">
        <v>881</v>
      </c>
      <c r="C103" s="3" t="s">
        <v>23</v>
      </c>
      <c r="D103" s="3" t="s">
        <v>38</v>
      </c>
      <c r="E103" s="3" t="s">
        <v>935</v>
      </c>
      <c r="F103" s="3">
        <v>25719</v>
      </c>
      <c r="G103" s="3" t="s">
        <v>937</v>
      </c>
      <c r="H103" s="3">
        <v>25440</v>
      </c>
      <c r="I103" s="3" t="s">
        <v>49</v>
      </c>
      <c r="J103" s="3" t="s">
        <v>1270</v>
      </c>
      <c r="K103" s="3" t="s">
        <v>28</v>
      </c>
      <c r="L103" s="3" t="s">
        <v>28</v>
      </c>
      <c r="M103" s="3" t="s">
        <v>48</v>
      </c>
      <c r="N103" s="21">
        <v>46259.587395833332</v>
      </c>
      <c r="O103" s="3" t="s">
        <v>47</v>
      </c>
      <c r="P103" s="21">
        <v>46259.717129629629</v>
      </c>
      <c r="Q103" s="3" t="s">
        <v>30</v>
      </c>
      <c r="R103" s="3" t="s">
        <v>30</v>
      </c>
      <c r="T103" s="24">
        <v>186.8</v>
      </c>
      <c r="U103" t="s">
        <v>184</v>
      </c>
    </row>
    <row r="104" spans="1:21" x14ac:dyDescent="0.25">
      <c r="A104" s="9">
        <v>51779</v>
      </c>
      <c r="B104" s="34" t="s">
        <v>881</v>
      </c>
      <c r="C104" s="4" t="s">
        <v>23</v>
      </c>
      <c r="D104" s="4" t="s">
        <v>37</v>
      </c>
      <c r="E104" s="4" t="s">
        <v>1271</v>
      </c>
      <c r="F104" s="4">
        <v>24773</v>
      </c>
      <c r="G104" s="4" t="s">
        <v>946</v>
      </c>
      <c r="H104" s="4">
        <v>25509</v>
      </c>
      <c r="I104" s="4" t="s">
        <v>948</v>
      </c>
      <c r="J104" s="4" t="s">
        <v>1272</v>
      </c>
      <c r="K104" s="4" t="s">
        <v>43</v>
      </c>
      <c r="L104" s="4" t="s">
        <v>28</v>
      </c>
      <c r="M104" s="4" t="s">
        <v>946</v>
      </c>
      <c r="N104" s="19">
        <v>46259.585555555554</v>
      </c>
      <c r="O104" s="4" t="s">
        <v>47</v>
      </c>
      <c r="P104" s="19">
        <v>46259.705706018518</v>
      </c>
      <c r="Q104" s="4" t="s">
        <v>30</v>
      </c>
      <c r="R104" s="4" t="s">
        <v>30</v>
      </c>
      <c r="T104" s="24">
        <v>173</v>
      </c>
      <c r="U104" t="s">
        <v>184</v>
      </c>
    </row>
    <row r="105" spans="1:21" x14ac:dyDescent="0.25">
      <c r="A105" s="11">
        <v>51777</v>
      </c>
      <c r="B105" s="35" t="s">
        <v>881</v>
      </c>
      <c r="C105" s="3" t="s">
        <v>23</v>
      </c>
      <c r="D105" s="3" t="s">
        <v>38</v>
      </c>
      <c r="E105" s="3" t="s">
        <v>952</v>
      </c>
      <c r="F105" s="3">
        <v>19062</v>
      </c>
      <c r="G105" s="3" t="s">
        <v>954</v>
      </c>
      <c r="H105" s="3">
        <v>18610</v>
      </c>
      <c r="I105" s="3" t="s">
        <v>956</v>
      </c>
      <c r="J105" s="3" t="s">
        <v>1273</v>
      </c>
      <c r="K105" s="3" t="s">
        <v>28</v>
      </c>
      <c r="L105" s="3" t="s">
        <v>28</v>
      </c>
      <c r="M105" s="3" t="s">
        <v>954</v>
      </c>
      <c r="N105" s="21">
        <v>46259.583043981482</v>
      </c>
      <c r="O105" s="3" t="s">
        <v>47</v>
      </c>
      <c r="P105" s="21">
        <v>46259.687743055554</v>
      </c>
      <c r="Q105" s="3" t="s">
        <v>30</v>
      </c>
      <c r="R105" s="3" t="s">
        <v>30</v>
      </c>
      <c r="T105" s="24">
        <v>150.80000000000001</v>
      </c>
      <c r="U105" t="s">
        <v>184</v>
      </c>
    </row>
    <row r="106" spans="1:21" x14ac:dyDescent="0.25">
      <c r="A106" s="9">
        <v>51767</v>
      </c>
      <c r="B106" s="34" t="s">
        <v>881</v>
      </c>
      <c r="C106" s="4" t="s">
        <v>23</v>
      </c>
      <c r="D106" s="4" t="s">
        <v>38</v>
      </c>
      <c r="E106" s="4" t="s">
        <v>3</v>
      </c>
      <c r="F106" s="4">
        <v>20602</v>
      </c>
      <c r="G106" s="4" t="s">
        <v>40</v>
      </c>
      <c r="H106" s="4">
        <v>21517</v>
      </c>
      <c r="I106" s="4" t="s">
        <v>39</v>
      </c>
      <c r="J106" s="4" t="s">
        <v>1274</v>
      </c>
      <c r="K106" s="4" t="s">
        <v>43</v>
      </c>
      <c r="L106" s="4" t="s">
        <v>28</v>
      </c>
      <c r="M106" s="4" t="s">
        <v>39</v>
      </c>
      <c r="N106" s="19">
        <v>46259.567303240743</v>
      </c>
      <c r="O106" s="4" t="s">
        <v>47</v>
      </c>
      <c r="P106" s="19">
        <v>46259.691134259258</v>
      </c>
      <c r="Q106" s="4" t="s">
        <v>30</v>
      </c>
      <c r="R106" s="4" t="s">
        <v>30</v>
      </c>
      <c r="T106" s="24">
        <v>178.3</v>
      </c>
      <c r="U106" t="s">
        <v>184</v>
      </c>
    </row>
    <row r="107" spans="1:21" x14ac:dyDescent="0.25">
      <c r="A107" s="11">
        <v>51758</v>
      </c>
      <c r="B107" s="35" t="s">
        <v>881</v>
      </c>
      <c r="C107" s="3" t="s">
        <v>23</v>
      </c>
      <c r="D107" s="3" t="s">
        <v>24</v>
      </c>
      <c r="E107" s="3" t="s">
        <v>96</v>
      </c>
      <c r="F107" s="3">
        <v>17569</v>
      </c>
      <c r="G107" s="3" t="s">
        <v>97</v>
      </c>
      <c r="H107" s="3">
        <v>13733</v>
      </c>
      <c r="I107" s="3" t="s">
        <v>98</v>
      </c>
      <c r="J107" s="3" t="s">
        <v>90</v>
      </c>
      <c r="K107" s="3" t="s">
        <v>28</v>
      </c>
      <c r="L107" s="3" t="s">
        <v>28</v>
      </c>
      <c r="M107" s="3" t="s">
        <v>97</v>
      </c>
      <c r="N107" s="21">
        <v>46259.542604166665</v>
      </c>
      <c r="O107" s="3" t="s">
        <v>33</v>
      </c>
      <c r="P107" s="21">
        <v>46259.644317129627</v>
      </c>
      <c r="Q107" s="3" t="s">
        <v>30</v>
      </c>
      <c r="R107" s="3" t="s">
        <v>30</v>
      </c>
      <c r="T107" s="24">
        <v>146.5</v>
      </c>
      <c r="U107" t="s">
        <v>184</v>
      </c>
    </row>
    <row r="108" spans="1:21" x14ac:dyDescent="0.25">
      <c r="A108" s="9">
        <v>51756</v>
      </c>
      <c r="B108" s="34" t="s">
        <v>881</v>
      </c>
      <c r="C108" s="4" t="s">
        <v>23</v>
      </c>
      <c r="D108" s="4" t="s">
        <v>24</v>
      </c>
      <c r="E108" s="4" t="s">
        <v>58</v>
      </c>
      <c r="F108" s="4">
        <v>9757</v>
      </c>
      <c r="G108" s="4" t="s">
        <v>59</v>
      </c>
      <c r="H108" s="4">
        <v>6652</v>
      </c>
      <c r="I108" s="4" t="s">
        <v>60</v>
      </c>
      <c r="J108" s="4" t="s">
        <v>1275</v>
      </c>
      <c r="K108" s="4" t="s">
        <v>28</v>
      </c>
      <c r="L108" s="4" t="s">
        <v>28</v>
      </c>
      <c r="M108" s="4" t="s">
        <v>59</v>
      </c>
      <c r="N108" s="19">
        <v>46259.541863425926</v>
      </c>
      <c r="O108" s="4" t="s">
        <v>47</v>
      </c>
      <c r="P108" s="19">
        <v>46259.673356481479</v>
      </c>
      <c r="Q108" s="4" t="s">
        <v>30</v>
      </c>
      <c r="R108" s="4" t="s">
        <v>30</v>
      </c>
      <c r="T108" s="24">
        <v>189.3</v>
      </c>
      <c r="U108" t="s">
        <v>184</v>
      </c>
    </row>
    <row r="109" spans="1:21" x14ac:dyDescent="0.25">
      <c r="A109" s="11">
        <v>51744</v>
      </c>
      <c r="B109" s="35" t="s">
        <v>881</v>
      </c>
      <c r="C109" s="3" t="s">
        <v>23</v>
      </c>
      <c r="D109" s="3" t="s">
        <v>38</v>
      </c>
      <c r="E109" s="3" t="s">
        <v>1276</v>
      </c>
      <c r="F109" s="3">
        <v>19913</v>
      </c>
      <c r="G109" s="3" t="s">
        <v>972</v>
      </c>
      <c r="H109" s="3">
        <v>25942</v>
      </c>
      <c r="I109" s="3" t="s">
        <v>974</v>
      </c>
      <c r="J109" s="3" t="s">
        <v>1277</v>
      </c>
      <c r="K109" s="3" t="s">
        <v>28</v>
      </c>
      <c r="L109" s="3" t="s">
        <v>28</v>
      </c>
      <c r="M109" s="3" t="s">
        <v>972</v>
      </c>
      <c r="N109" s="21">
        <v>46259.526886574073</v>
      </c>
      <c r="O109" s="3" t="s">
        <v>47</v>
      </c>
      <c r="P109" s="21">
        <v>46259.681284722225</v>
      </c>
      <c r="Q109" s="3" t="s">
        <v>30</v>
      </c>
      <c r="R109" s="3" t="s">
        <v>30</v>
      </c>
      <c r="T109" s="24">
        <v>222.3</v>
      </c>
      <c r="U109" t="s">
        <v>184</v>
      </c>
    </row>
    <row r="110" spans="1:21" x14ac:dyDescent="0.25">
      <c r="A110" s="9">
        <v>51732</v>
      </c>
      <c r="B110" s="34" t="s">
        <v>881</v>
      </c>
      <c r="C110" s="4" t="s">
        <v>23</v>
      </c>
      <c r="D110" s="4" t="s">
        <v>24</v>
      </c>
      <c r="E110" s="4" t="s">
        <v>140</v>
      </c>
      <c r="F110" s="4">
        <v>5432</v>
      </c>
      <c r="G110" s="4" t="s">
        <v>141</v>
      </c>
      <c r="H110" s="4">
        <v>24525</v>
      </c>
      <c r="I110" s="4" t="s">
        <v>142</v>
      </c>
      <c r="J110" s="4" t="s">
        <v>1278</v>
      </c>
      <c r="K110" s="4" t="s">
        <v>28</v>
      </c>
      <c r="L110" s="4" t="s">
        <v>28</v>
      </c>
      <c r="M110" s="4" t="s">
        <v>141</v>
      </c>
      <c r="N110" s="19">
        <v>46259.511712962965</v>
      </c>
      <c r="O110" s="4" t="s">
        <v>47</v>
      </c>
      <c r="P110" s="19">
        <v>46259.750868055555</v>
      </c>
      <c r="Q110" s="4" t="s">
        <v>30</v>
      </c>
      <c r="R110" s="4" t="s">
        <v>30</v>
      </c>
      <c r="T110" s="24">
        <v>344.4</v>
      </c>
      <c r="U110" t="s">
        <v>184</v>
      </c>
    </row>
    <row r="111" spans="1:21" x14ac:dyDescent="0.25">
      <c r="A111" s="11">
        <v>51717</v>
      </c>
      <c r="B111" s="35" t="s">
        <v>881</v>
      </c>
      <c r="C111" s="3" t="s">
        <v>23</v>
      </c>
      <c r="D111" s="3" t="s">
        <v>24</v>
      </c>
      <c r="E111" s="3" t="s">
        <v>981</v>
      </c>
      <c r="F111" s="3">
        <v>23931</v>
      </c>
      <c r="G111" s="3" t="s">
        <v>595</v>
      </c>
      <c r="H111" s="3">
        <v>25517</v>
      </c>
      <c r="I111" s="3" t="s">
        <v>597</v>
      </c>
      <c r="J111" s="3" t="s">
        <v>1279</v>
      </c>
      <c r="K111" s="3" t="s">
        <v>28</v>
      </c>
      <c r="L111" s="3" t="s">
        <v>28</v>
      </c>
      <c r="M111" s="3" t="s">
        <v>599</v>
      </c>
      <c r="N111" s="21">
        <v>46259.481157407405</v>
      </c>
      <c r="O111" s="3" t="s">
        <v>47</v>
      </c>
      <c r="P111" s="21">
        <v>46259.706712962965</v>
      </c>
      <c r="Q111" s="3" t="s">
        <v>29</v>
      </c>
      <c r="R111" s="3" t="s">
        <v>30</v>
      </c>
      <c r="T111" s="24">
        <v>324.8</v>
      </c>
      <c r="U111" t="s">
        <v>184</v>
      </c>
    </row>
    <row r="112" spans="1:21" x14ac:dyDescent="0.25">
      <c r="A112" s="9">
        <v>51711</v>
      </c>
      <c r="B112" s="34" t="s">
        <v>881</v>
      </c>
      <c r="C112" s="4" t="s">
        <v>23</v>
      </c>
      <c r="D112" s="4" t="s">
        <v>24</v>
      </c>
      <c r="E112" s="4" t="s">
        <v>985</v>
      </c>
      <c r="F112" s="4">
        <v>17967</v>
      </c>
      <c r="G112" s="4" t="s">
        <v>987</v>
      </c>
      <c r="H112" s="4">
        <v>17966</v>
      </c>
      <c r="I112" s="4" t="s">
        <v>989</v>
      </c>
      <c r="J112" s="4" t="s">
        <v>1280</v>
      </c>
      <c r="K112" s="4" t="s">
        <v>28</v>
      </c>
      <c r="L112" s="4" t="s">
        <v>28</v>
      </c>
      <c r="M112" s="4" t="s">
        <v>987</v>
      </c>
      <c r="N112" s="19">
        <v>46259.468310185184</v>
      </c>
      <c r="O112" s="4" t="s">
        <v>47</v>
      </c>
      <c r="P112" s="19">
        <v>46259.721898148149</v>
      </c>
      <c r="Q112" s="4" t="s">
        <v>29</v>
      </c>
      <c r="R112" s="4" t="s">
        <v>30</v>
      </c>
      <c r="T112" s="24">
        <v>365.2</v>
      </c>
      <c r="U112" t="s">
        <v>184</v>
      </c>
    </row>
    <row r="113" spans="1:21" x14ac:dyDescent="0.25">
      <c r="A113" s="11">
        <v>51706</v>
      </c>
      <c r="B113" s="35" t="s">
        <v>881</v>
      </c>
      <c r="C113" s="3" t="s">
        <v>23</v>
      </c>
      <c r="D113" s="3" t="s">
        <v>24</v>
      </c>
      <c r="E113" s="3" t="s">
        <v>5</v>
      </c>
      <c r="F113" s="3">
        <v>7315</v>
      </c>
      <c r="G113" s="3" t="s">
        <v>31</v>
      </c>
      <c r="H113" s="3">
        <v>14432</v>
      </c>
      <c r="I113" s="3" t="s">
        <v>32</v>
      </c>
      <c r="J113" s="3" t="s">
        <v>1281</v>
      </c>
      <c r="K113" s="3" t="s">
        <v>28</v>
      </c>
      <c r="L113" s="3" t="s">
        <v>28</v>
      </c>
      <c r="M113" s="3" t="s">
        <v>621</v>
      </c>
      <c r="N113" s="21">
        <v>46259.449988425928</v>
      </c>
      <c r="O113" s="3" t="s">
        <v>47</v>
      </c>
      <c r="P113" s="21">
        <v>46259.742673611108</v>
      </c>
      <c r="Q113" s="3" t="s">
        <v>29</v>
      </c>
      <c r="R113" s="3" t="s">
        <v>30</v>
      </c>
      <c r="T113" s="24">
        <v>421.5</v>
      </c>
      <c r="U113" t="s">
        <v>184</v>
      </c>
    </row>
    <row r="114" spans="1:21" x14ac:dyDescent="0.25">
      <c r="A114" s="10">
        <v>51705</v>
      </c>
      <c r="B114" s="36" t="s">
        <v>881</v>
      </c>
      <c r="C114" s="5" t="s">
        <v>23</v>
      </c>
      <c r="D114" s="5" t="s">
        <v>24</v>
      </c>
      <c r="E114" s="5" t="s">
        <v>50</v>
      </c>
      <c r="F114" s="5">
        <v>17517</v>
      </c>
      <c r="G114" s="5" t="s">
        <v>51</v>
      </c>
      <c r="H114" s="5">
        <v>18521</v>
      </c>
      <c r="I114" s="5" t="s">
        <v>52</v>
      </c>
      <c r="J114" s="5" t="s">
        <v>1282</v>
      </c>
      <c r="K114" s="5" t="s">
        <v>28</v>
      </c>
      <c r="L114" s="5" t="s">
        <v>28</v>
      </c>
      <c r="M114" s="5" t="s">
        <v>51</v>
      </c>
      <c r="N114" s="20">
        <v>46259.448298611111</v>
      </c>
      <c r="O114" s="5" t="s">
        <v>47</v>
      </c>
      <c r="P114" s="20">
        <v>46259.677870370368</v>
      </c>
      <c r="Q114" s="5" t="s">
        <v>29</v>
      </c>
      <c r="R114" s="5" t="s">
        <v>30</v>
      </c>
      <c r="S114" s="6"/>
      <c r="T114" s="24">
        <v>330.6</v>
      </c>
      <c r="U114" t="s">
        <v>184</v>
      </c>
    </row>
    <row r="115" spans="1:21" x14ac:dyDescent="0.25">
      <c r="A115" s="10">
        <v>51701</v>
      </c>
      <c r="B115" s="36" t="s">
        <v>881</v>
      </c>
      <c r="C115" s="5" t="s">
        <v>23</v>
      </c>
      <c r="D115" s="5" t="s">
        <v>38</v>
      </c>
      <c r="E115" s="5" t="s">
        <v>1283</v>
      </c>
      <c r="F115" s="5">
        <v>20829</v>
      </c>
      <c r="G115" s="5" t="s">
        <v>42</v>
      </c>
      <c r="H115" s="5">
        <v>23160</v>
      </c>
      <c r="I115" s="5" t="s">
        <v>41</v>
      </c>
      <c r="J115" s="5" t="s">
        <v>1213</v>
      </c>
      <c r="K115" s="5" t="s">
        <v>28</v>
      </c>
      <c r="L115" s="5" t="s">
        <v>28</v>
      </c>
      <c r="M115" s="5" t="s">
        <v>42</v>
      </c>
      <c r="N115" s="20">
        <v>46259.432349537034</v>
      </c>
      <c r="O115" s="5" t="s">
        <v>47</v>
      </c>
      <c r="P115" s="20">
        <v>46260.318668981483</v>
      </c>
      <c r="Q115" s="5" t="s">
        <v>29</v>
      </c>
      <c r="R115" s="5" t="s">
        <v>29</v>
      </c>
      <c r="S115" s="6"/>
      <c r="T115" s="24">
        <v>1276.3</v>
      </c>
      <c r="U115" t="s">
        <v>184</v>
      </c>
    </row>
    <row r="116" spans="1:21" x14ac:dyDescent="0.25">
      <c r="A116" s="9">
        <v>51700</v>
      </c>
      <c r="B116" s="34" t="s">
        <v>881</v>
      </c>
      <c r="C116" s="4" t="s">
        <v>23</v>
      </c>
      <c r="D116" s="4" t="s">
        <v>37</v>
      </c>
      <c r="E116" s="4" t="s">
        <v>1004</v>
      </c>
      <c r="F116" s="4">
        <v>19037</v>
      </c>
      <c r="G116" s="4" t="s">
        <v>405</v>
      </c>
      <c r="H116" s="4">
        <v>25973</v>
      </c>
      <c r="I116" s="4" t="s">
        <v>95</v>
      </c>
      <c r="J116" s="4" t="s">
        <v>1284</v>
      </c>
      <c r="K116" s="4" t="s">
        <v>28</v>
      </c>
      <c r="L116" s="4" t="s">
        <v>28</v>
      </c>
      <c r="M116" s="4" t="s">
        <v>405</v>
      </c>
      <c r="N116" s="19">
        <v>46259.42895833333</v>
      </c>
      <c r="O116" s="4" t="s">
        <v>47</v>
      </c>
      <c r="P116" s="19">
        <v>46259.695729166669</v>
      </c>
      <c r="Q116" s="4" t="s">
        <v>29</v>
      </c>
      <c r="R116" s="4" t="s">
        <v>30</v>
      </c>
      <c r="T116" s="24">
        <v>384.2</v>
      </c>
      <c r="U116" t="s">
        <v>184</v>
      </c>
    </row>
    <row r="117" spans="1:21" x14ac:dyDescent="0.25">
      <c r="A117" s="10">
        <v>51685</v>
      </c>
      <c r="B117" s="36" t="s">
        <v>881</v>
      </c>
      <c r="C117" s="5" t="s">
        <v>23</v>
      </c>
      <c r="D117" s="5" t="s">
        <v>24</v>
      </c>
      <c r="E117" s="5" t="s">
        <v>469</v>
      </c>
      <c r="F117" s="5">
        <v>53407</v>
      </c>
      <c r="G117" s="5" t="s">
        <v>400</v>
      </c>
      <c r="H117" s="5">
        <v>10653</v>
      </c>
      <c r="I117" s="5" t="s">
        <v>402</v>
      </c>
      <c r="J117" s="5" t="s">
        <v>1285</v>
      </c>
      <c r="K117" s="5" t="s">
        <v>43</v>
      </c>
      <c r="L117" s="5" t="s">
        <v>28</v>
      </c>
      <c r="M117" s="5" t="s">
        <v>402</v>
      </c>
      <c r="N117" s="20">
        <v>46259.372465277775</v>
      </c>
      <c r="O117" s="5" t="s">
        <v>47</v>
      </c>
      <c r="P117" s="20">
        <v>46260.314583333333</v>
      </c>
      <c r="Q117" s="5" t="s">
        <v>29</v>
      </c>
      <c r="R117" s="5" t="s">
        <v>29</v>
      </c>
      <c r="S117" s="6"/>
      <c r="T117" s="24">
        <v>1356.7</v>
      </c>
      <c r="U117" t="s">
        <v>184</v>
      </c>
    </row>
    <row r="118" spans="1:21" x14ac:dyDescent="0.25">
      <c r="A118" s="10">
        <v>51679</v>
      </c>
      <c r="B118" s="36" t="s">
        <v>881</v>
      </c>
      <c r="C118" s="5" t="s">
        <v>23</v>
      </c>
      <c r="D118" s="5" t="s">
        <v>24</v>
      </c>
      <c r="E118" s="5" t="s">
        <v>1013</v>
      </c>
      <c r="F118" s="5">
        <v>22730</v>
      </c>
      <c r="G118" s="5" t="s">
        <v>1015</v>
      </c>
      <c r="H118" s="5">
        <v>10646</v>
      </c>
      <c r="I118" s="5" t="s">
        <v>1017</v>
      </c>
      <c r="J118" s="5" t="s">
        <v>1286</v>
      </c>
      <c r="K118" s="5" t="s">
        <v>28</v>
      </c>
      <c r="L118" s="5" t="s">
        <v>28</v>
      </c>
      <c r="M118" s="5" t="s">
        <v>1015</v>
      </c>
      <c r="N118" s="20">
        <v>46259.365451388891</v>
      </c>
      <c r="O118" s="5" t="s">
        <v>47</v>
      </c>
      <c r="P118" s="20">
        <v>46259.400277777779</v>
      </c>
      <c r="Q118" s="5" t="s">
        <v>29</v>
      </c>
      <c r="R118" s="5" t="s">
        <v>29</v>
      </c>
      <c r="S118" s="6" t="s">
        <v>28</v>
      </c>
      <c r="T118" s="24">
        <v>50.1</v>
      </c>
      <c r="U118" t="s">
        <v>28</v>
      </c>
    </row>
    <row r="119" spans="1:21" x14ac:dyDescent="0.25">
      <c r="A119" s="11">
        <v>51678</v>
      </c>
      <c r="B119" s="35" t="s">
        <v>881</v>
      </c>
      <c r="C119" s="3" t="s">
        <v>23</v>
      </c>
      <c r="D119" s="3" t="s">
        <v>24</v>
      </c>
      <c r="E119" s="3" t="s">
        <v>471</v>
      </c>
      <c r="F119" s="3">
        <v>22717</v>
      </c>
      <c r="G119" s="3" t="s">
        <v>423</v>
      </c>
      <c r="H119" s="3">
        <v>22741</v>
      </c>
      <c r="I119" s="3" t="s">
        <v>131</v>
      </c>
      <c r="J119" s="3" t="s">
        <v>1287</v>
      </c>
      <c r="K119" s="3" t="s">
        <v>28</v>
      </c>
      <c r="L119" s="3" t="s">
        <v>28</v>
      </c>
      <c r="M119" s="3" t="s">
        <v>423</v>
      </c>
      <c r="N119" s="21">
        <v>46259.364814814813</v>
      </c>
      <c r="O119" s="3" t="s">
        <v>33</v>
      </c>
      <c r="P119" s="21">
        <v>46259.694780092592</v>
      </c>
      <c r="Q119" s="3" t="s">
        <v>29</v>
      </c>
      <c r="R119" s="3" t="s">
        <v>30</v>
      </c>
      <c r="T119" s="24">
        <v>475.2</v>
      </c>
      <c r="U119" t="s">
        <v>184</v>
      </c>
    </row>
    <row r="120" spans="1:21" x14ac:dyDescent="0.25">
      <c r="A120" s="9">
        <v>51673</v>
      </c>
      <c r="B120" s="34" t="s">
        <v>881</v>
      </c>
      <c r="C120" s="4" t="s">
        <v>23</v>
      </c>
      <c r="D120" s="4" t="s">
        <v>24</v>
      </c>
      <c r="E120" s="4" t="s">
        <v>527</v>
      </c>
      <c r="F120" s="4">
        <v>21948</v>
      </c>
      <c r="G120" s="4" t="s">
        <v>529</v>
      </c>
      <c r="H120" s="4">
        <v>23088</v>
      </c>
      <c r="I120" s="4" t="s">
        <v>531</v>
      </c>
      <c r="J120" s="4" t="s">
        <v>1288</v>
      </c>
      <c r="K120" s="4" t="s">
        <v>28</v>
      </c>
      <c r="L120" s="4" t="s">
        <v>28</v>
      </c>
      <c r="M120" s="4" t="s">
        <v>529</v>
      </c>
      <c r="N120" s="19">
        <v>46259.358564814815</v>
      </c>
      <c r="O120" s="4" t="s">
        <v>47</v>
      </c>
      <c r="P120" s="19">
        <v>46259.398715277777</v>
      </c>
      <c r="Q120" s="4" t="s">
        <v>29</v>
      </c>
      <c r="R120" s="4" t="s">
        <v>29</v>
      </c>
      <c r="S120" t="s">
        <v>28</v>
      </c>
      <c r="T120" s="24">
        <v>57.8</v>
      </c>
      <c r="U120" t="s">
        <v>28</v>
      </c>
    </row>
    <row r="121" spans="1:21" x14ac:dyDescent="0.25">
      <c r="A121" s="11">
        <v>51670</v>
      </c>
      <c r="B121" s="35" t="s">
        <v>881</v>
      </c>
      <c r="C121" s="3" t="s">
        <v>23</v>
      </c>
      <c r="D121" s="3" t="s">
        <v>24</v>
      </c>
      <c r="E121" s="3" t="s">
        <v>87</v>
      </c>
      <c r="F121" s="3">
        <v>3987</v>
      </c>
      <c r="G121" s="3" t="s">
        <v>88</v>
      </c>
      <c r="H121" s="3">
        <v>4732</v>
      </c>
      <c r="I121" s="3" t="s">
        <v>89</v>
      </c>
      <c r="J121" s="3" t="s">
        <v>1289</v>
      </c>
      <c r="K121" s="3" t="s">
        <v>28</v>
      </c>
      <c r="L121" s="3" t="s">
        <v>28</v>
      </c>
      <c r="M121" s="3" t="s">
        <v>88</v>
      </c>
      <c r="N121" s="21">
        <v>46259.353032407409</v>
      </c>
      <c r="O121" s="3" t="s">
        <v>33</v>
      </c>
      <c r="P121" s="21">
        <v>46259.359953703701</v>
      </c>
      <c r="Q121" s="3" t="s">
        <v>29</v>
      </c>
      <c r="R121" s="3" t="s">
        <v>29</v>
      </c>
      <c r="S121" t="s">
        <v>28</v>
      </c>
      <c r="T121" s="24">
        <v>10</v>
      </c>
      <c r="U121" t="s">
        <v>28</v>
      </c>
    </row>
    <row r="122" spans="1:21" x14ac:dyDescent="0.25">
      <c r="A122" s="10">
        <v>51665</v>
      </c>
      <c r="B122" s="36" t="s">
        <v>881</v>
      </c>
      <c r="C122" s="5" t="s">
        <v>23</v>
      </c>
      <c r="D122" s="5" t="s">
        <v>24</v>
      </c>
      <c r="E122" s="5" t="s">
        <v>118</v>
      </c>
      <c r="F122" s="5">
        <v>22949</v>
      </c>
      <c r="G122" s="5" t="s">
        <v>119</v>
      </c>
      <c r="H122" s="5">
        <v>24256</v>
      </c>
      <c r="I122" s="5" t="s">
        <v>120</v>
      </c>
      <c r="J122" s="5" t="s">
        <v>1290</v>
      </c>
      <c r="K122" s="5" t="s">
        <v>28</v>
      </c>
      <c r="L122" s="5" t="s">
        <v>28</v>
      </c>
      <c r="M122" s="5" t="s">
        <v>119</v>
      </c>
      <c r="N122" s="20">
        <v>46259.347337962965</v>
      </c>
      <c r="O122" s="5" t="s">
        <v>47</v>
      </c>
      <c r="P122" s="20">
        <v>46259.361180555556</v>
      </c>
      <c r="Q122" s="5" t="s">
        <v>29</v>
      </c>
      <c r="R122" s="5" t="s">
        <v>29</v>
      </c>
      <c r="S122" s="6" t="s">
        <v>28</v>
      </c>
      <c r="T122" s="24">
        <v>19.899999999999999</v>
      </c>
      <c r="U122" t="s">
        <v>28</v>
      </c>
    </row>
    <row r="123" spans="1:21" x14ac:dyDescent="0.25">
      <c r="A123" s="10">
        <v>51661</v>
      </c>
      <c r="B123" s="36" t="s">
        <v>881</v>
      </c>
      <c r="C123" s="5" t="s">
        <v>23</v>
      </c>
      <c r="D123" s="5" t="s">
        <v>38</v>
      </c>
      <c r="E123" s="5" t="s">
        <v>94</v>
      </c>
      <c r="F123" s="5">
        <v>19920</v>
      </c>
      <c r="G123" s="5" t="s">
        <v>82</v>
      </c>
      <c r="H123" s="5">
        <v>24212</v>
      </c>
      <c r="I123" s="5" t="s">
        <v>83</v>
      </c>
      <c r="J123" s="5" t="s">
        <v>1291</v>
      </c>
      <c r="K123" s="5" t="s">
        <v>28</v>
      </c>
      <c r="L123" s="5" t="s">
        <v>28</v>
      </c>
      <c r="M123" s="5" t="s">
        <v>82</v>
      </c>
      <c r="N123" s="20">
        <v>46259.34574074074</v>
      </c>
      <c r="O123" s="5" t="s">
        <v>47</v>
      </c>
      <c r="P123" s="20">
        <v>46259.710011574076</v>
      </c>
      <c r="Q123" s="5" t="s">
        <v>29</v>
      </c>
      <c r="R123" s="5" t="s">
        <v>30</v>
      </c>
      <c r="S123" s="6"/>
      <c r="T123" s="24">
        <v>524.6</v>
      </c>
      <c r="U123" t="s">
        <v>184</v>
      </c>
    </row>
    <row r="124" spans="1:21" x14ac:dyDescent="0.25">
      <c r="A124" s="10">
        <v>51654</v>
      </c>
      <c r="B124" s="36" t="s">
        <v>881</v>
      </c>
      <c r="C124" s="5" t="s">
        <v>23</v>
      </c>
      <c r="D124" s="5" t="s">
        <v>24</v>
      </c>
      <c r="E124" s="5" t="s">
        <v>1041</v>
      </c>
      <c r="F124" s="5">
        <v>23162</v>
      </c>
      <c r="G124" s="5" t="s">
        <v>495</v>
      </c>
      <c r="H124" s="5">
        <v>22950</v>
      </c>
      <c r="I124" s="5" t="s">
        <v>493</v>
      </c>
      <c r="J124" s="5" t="s">
        <v>1292</v>
      </c>
      <c r="K124" s="5" t="s">
        <v>28</v>
      </c>
      <c r="L124" s="5" t="s">
        <v>28</v>
      </c>
      <c r="M124" s="5" t="s">
        <v>493</v>
      </c>
      <c r="N124" s="20">
        <v>46259.337824074071</v>
      </c>
      <c r="O124" s="5" t="s">
        <v>33</v>
      </c>
      <c r="P124" s="20">
        <v>46259.690879629627</v>
      </c>
      <c r="Q124" s="5" t="s">
        <v>29</v>
      </c>
      <c r="R124" s="5" t="s">
        <v>30</v>
      </c>
      <c r="S124" s="6"/>
      <c r="T124" s="24">
        <v>508.4</v>
      </c>
      <c r="U124" t="s">
        <v>184</v>
      </c>
    </row>
    <row r="125" spans="1:21" x14ac:dyDescent="0.25">
      <c r="A125" s="11">
        <v>51651</v>
      </c>
      <c r="B125" s="35" t="s">
        <v>881</v>
      </c>
      <c r="C125" s="3" t="s">
        <v>23</v>
      </c>
      <c r="D125" s="3" t="s">
        <v>38</v>
      </c>
      <c r="E125" s="3" t="s">
        <v>135</v>
      </c>
      <c r="F125" s="3">
        <v>21847</v>
      </c>
      <c r="G125" s="3" t="s">
        <v>136</v>
      </c>
      <c r="H125" s="3">
        <v>25507</v>
      </c>
      <c r="I125" s="3" t="s">
        <v>137</v>
      </c>
      <c r="J125" s="3" t="s">
        <v>1293</v>
      </c>
      <c r="K125" s="3" t="s">
        <v>43</v>
      </c>
      <c r="L125" s="3" t="s">
        <v>28</v>
      </c>
      <c r="M125" s="3" t="s">
        <v>137</v>
      </c>
      <c r="N125" s="21">
        <v>46259.336481481485</v>
      </c>
      <c r="O125" s="3" t="s">
        <v>47</v>
      </c>
      <c r="P125" s="21">
        <v>46259.725428240738</v>
      </c>
      <c r="Q125" s="3" t="s">
        <v>29</v>
      </c>
      <c r="R125" s="3" t="s">
        <v>30</v>
      </c>
      <c r="T125" s="24">
        <v>560.1</v>
      </c>
      <c r="U125" t="s">
        <v>184</v>
      </c>
    </row>
    <row r="126" spans="1:21" x14ac:dyDescent="0.25">
      <c r="A126" s="9">
        <v>51650</v>
      </c>
      <c r="B126" s="34" t="s">
        <v>881</v>
      </c>
      <c r="C126" s="4" t="s">
        <v>23</v>
      </c>
      <c r="D126" s="4" t="s">
        <v>24</v>
      </c>
      <c r="E126" s="4" t="s">
        <v>79</v>
      </c>
      <c r="F126" s="4">
        <v>13459</v>
      </c>
      <c r="G126" s="4" t="s">
        <v>80</v>
      </c>
      <c r="H126" s="4">
        <v>14181</v>
      </c>
      <c r="I126" s="4" t="s">
        <v>81</v>
      </c>
      <c r="J126" s="4" t="s">
        <v>1294</v>
      </c>
      <c r="K126" s="4" t="s">
        <v>28</v>
      </c>
      <c r="L126" s="4" t="s">
        <v>28</v>
      </c>
      <c r="M126" s="4" t="s">
        <v>80</v>
      </c>
      <c r="N126" s="19">
        <v>46259.33494212963</v>
      </c>
      <c r="O126" s="4" t="s">
        <v>47</v>
      </c>
      <c r="P126" s="19">
        <v>46259.360520833332</v>
      </c>
      <c r="Q126" s="4" t="s">
        <v>29</v>
      </c>
      <c r="R126" s="4" t="s">
        <v>29</v>
      </c>
      <c r="S126" t="s">
        <v>28</v>
      </c>
      <c r="T126" s="24">
        <v>36.799999999999997</v>
      </c>
      <c r="U126" t="s">
        <v>28</v>
      </c>
    </row>
    <row r="127" spans="1:21" x14ac:dyDescent="0.25">
      <c r="A127" s="11">
        <v>51645</v>
      </c>
      <c r="B127" s="35" t="s">
        <v>881</v>
      </c>
      <c r="C127" s="3" t="s">
        <v>23</v>
      </c>
      <c r="D127" s="3" t="s">
        <v>24</v>
      </c>
      <c r="E127" s="3" t="s">
        <v>606</v>
      </c>
      <c r="F127" s="3">
        <v>14568</v>
      </c>
      <c r="G127" s="3" t="s">
        <v>608</v>
      </c>
      <c r="H127" s="3">
        <v>16199</v>
      </c>
      <c r="I127" s="3" t="s">
        <v>610</v>
      </c>
      <c r="J127" s="3" t="s">
        <v>475</v>
      </c>
      <c r="K127" s="3" t="s">
        <v>28</v>
      </c>
      <c r="L127" s="3" t="s">
        <v>28</v>
      </c>
      <c r="M127" s="3" t="s">
        <v>610</v>
      </c>
      <c r="N127" s="21">
        <v>46259.329675925925</v>
      </c>
      <c r="O127" s="3" t="s">
        <v>33</v>
      </c>
      <c r="P127" s="21">
        <v>46260.341099537036</v>
      </c>
      <c r="Q127" s="3" t="s">
        <v>29</v>
      </c>
      <c r="R127" s="3" t="s">
        <v>29</v>
      </c>
      <c r="T127" s="24">
        <v>1456.5</v>
      </c>
      <c r="U127" t="s">
        <v>184</v>
      </c>
    </row>
    <row r="128" spans="1:21" x14ac:dyDescent="0.25">
      <c r="A128" s="9">
        <v>51642</v>
      </c>
      <c r="B128" s="34" t="s">
        <v>881</v>
      </c>
      <c r="C128" s="4" t="s">
        <v>23</v>
      </c>
      <c r="D128" s="4" t="s">
        <v>38</v>
      </c>
      <c r="E128" s="4" t="s">
        <v>1295</v>
      </c>
      <c r="F128" s="4">
        <v>19035</v>
      </c>
      <c r="G128" s="4" t="s">
        <v>65</v>
      </c>
      <c r="H128" s="4">
        <v>19052</v>
      </c>
      <c r="I128" s="4" t="s">
        <v>66</v>
      </c>
      <c r="J128" s="4" t="s">
        <v>1296</v>
      </c>
      <c r="K128" s="4" t="s">
        <v>28</v>
      </c>
      <c r="L128" s="4" t="s">
        <v>28</v>
      </c>
      <c r="M128" s="4" t="s">
        <v>65</v>
      </c>
      <c r="N128" s="19">
        <v>46259.3281712963</v>
      </c>
      <c r="O128" s="4" t="s">
        <v>47</v>
      </c>
      <c r="P128" s="19">
        <v>46260.35056712963</v>
      </c>
      <c r="Q128" s="4" t="s">
        <v>29</v>
      </c>
      <c r="R128" s="4" t="s">
        <v>29</v>
      </c>
      <c r="T128" s="24">
        <v>1472.2</v>
      </c>
      <c r="U128" t="s">
        <v>184</v>
      </c>
    </row>
    <row r="129" spans="1:21" x14ac:dyDescent="0.25">
      <c r="A129" s="11">
        <v>51641</v>
      </c>
      <c r="B129" s="35" t="s">
        <v>881</v>
      </c>
      <c r="C129" s="3" t="s">
        <v>23</v>
      </c>
      <c r="D129" s="3" t="s">
        <v>24</v>
      </c>
      <c r="E129" s="3" t="s">
        <v>53</v>
      </c>
      <c r="F129" s="3">
        <v>25505</v>
      </c>
      <c r="G129" s="3" t="s">
        <v>54</v>
      </c>
      <c r="H129" s="3">
        <v>25522</v>
      </c>
      <c r="I129" s="3" t="s">
        <v>55</v>
      </c>
      <c r="J129" s="3" t="s">
        <v>1297</v>
      </c>
      <c r="K129" s="3" t="s">
        <v>28</v>
      </c>
      <c r="L129" s="3" t="s">
        <v>28</v>
      </c>
      <c r="M129" s="3" t="s">
        <v>54</v>
      </c>
      <c r="N129" s="21">
        <v>46259.327731481484</v>
      </c>
      <c r="O129" s="3" t="s">
        <v>33</v>
      </c>
      <c r="P129" s="21">
        <v>46260.40693287037</v>
      </c>
      <c r="Q129" s="3" t="s">
        <v>29</v>
      </c>
      <c r="R129" s="3" t="s">
        <v>29</v>
      </c>
      <c r="T129" s="24">
        <v>1554</v>
      </c>
      <c r="U129" t="s">
        <v>184</v>
      </c>
    </row>
    <row r="130" spans="1:21" x14ac:dyDescent="0.25">
      <c r="A130" s="9">
        <v>51634</v>
      </c>
      <c r="B130" s="34" t="s">
        <v>881</v>
      </c>
      <c r="C130" s="4" t="s">
        <v>23</v>
      </c>
      <c r="D130" s="4" t="s">
        <v>24</v>
      </c>
      <c r="E130" s="4" t="s">
        <v>477</v>
      </c>
      <c r="F130" s="4">
        <v>812</v>
      </c>
      <c r="G130" s="4" t="s">
        <v>463</v>
      </c>
      <c r="H130" s="4">
        <v>21002</v>
      </c>
      <c r="I130" s="4" t="s">
        <v>465</v>
      </c>
      <c r="J130" s="4" t="s">
        <v>1298</v>
      </c>
      <c r="K130" s="4" t="s">
        <v>28</v>
      </c>
      <c r="L130" s="4" t="s">
        <v>28</v>
      </c>
      <c r="M130" s="4" t="s">
        <v>463</v>
      </c>
      <c r="N130" s="19">
        <v>46259.317118055558</v>
      </c>
      <c r="O130" s="4" t="s">
        <v>47</v>
      </c>
      <c r="P130" s="19">
        <v>46260.329548611109</v>
      </c>
      <c r="Q130" s="4" t="s">
        <v>29</v>
      </c>
      <c r="R130" s="4" t="s">
        <v>29</v>
      </c>
      <c r="T130" s="24">
        <v>1457.9</v>
      </c>
      <c r="U130" t="s">
        <v>184</v>
      </c>
    </row>
    <row r="131" spans="1:21" x14ac:dyDescent="0.25">
      <c r="A131" s="11">
        <v>51605</v>
      </c>
      <c r="B131" s="35" t="s">
        <v>479</v>
      </c>
      <c r="C131" s="3" t="s">
        <v>23</v>
      </c>
      <c r="D131" s="3"/>
      <c r="E131" s="3" t="s">
        <v>126</v>
      </c>
      <c r="F131" s="3">
        <v>19060</v>
      </c>
      <c r="G131" s="3" t="s">
        <v>127</v>
      </c>
      <c r="H131" s="3">
        <v>26039</v>
      </c>
      <c r="I131" s="3" t="s">
        <v>128</v>
      </c>
      <c r="J131" s="3" t="s">
        <v>1299</v>
      </c>
      <c r="K131" s="3" t="s">
        <v>28</v>
      </c>
      <c r="L131" s="3" t="s">
        <v>28</v>
      </c>
      <c r="M131" s="3" t="s">
        <v>695</v>
      </c>
      <c r="N131" s="21">
        <v>46258.734270833331</v>
      </c>
      <c r="O131" s="3" t="s">
        <v>47</v>
      </c>
      <c r="P131" s="21">
        <v>46259.321296296293</v>
      </c>
      <c r="Q131" s="3" t="s">
        <v>30</v>
      </c>
      <c r="R131" s="3" t="s">
        <v>29</v>
      </c>
      <c r="T131" s="24">
        <v>845.3</v>
      </c>
      <c r="U131" t="s">
        <v>184</v>
      </c>
    </row>
    <row r="132" spans="1:21" x14ac:dyDescent="0.25">
      <c r="A132" s="9">
        <v>51591</v>
      </c>
      <c r="B132" s="34" t="s">
        <v>479</v>
      </c>
      <c r="C132" s="4" t="s">
        <v>23</v>
      </c>
      <c r="D132" s="4" t="s">
        <v>24</v>
      </c>
      <c r="E132" s="4" t="s">
        <v>412</v>
      </c>
      <c r="F132" s="4">
        <v>17904</v>
      </c>
      <c r="G132" s="4" t="s">
        <v>414</v>
      </c>
      <c r="H132" s="4">
        <v>15240</v>
      </c>
      <c r="I132" s="4" t="s">
        <v>416</v>
      </c>
      <c r="J132" s="4" t="s">
        <v>1300</v>
      </c>
      <c r="K132" s="4" t="s">
        <v>28</v>
      </c>
      <c r="L132" s="4" t="s">
        <v>28</v>
      </c>
      <c r="M132" s="4" t="s">
        <v>414</v>
      </c>
      <c r="N132" s="19">
        <v>46258.666377314818</v>
      </c>
      <c r="O132" s="4" t="s">
        <v>47</v>
      </c>
      <c r="P132" s="19">
        <v>46258.702453703707</v>
      </c>
      <c r="Q132" s="4" t="s">
        <v>30</v>
      </c>
      <c r="R132" s="4" t="s">
        <v>30</v>
      </c>
      <c r="T132" s="24">
        <v>52</v>
      </c>
      <c r="U132" t="s">
        <v>184</v>
      </c>
    </row>
    <row r="133" spans="1:21" x14ac:dyDescent="0.25">
      <c r="A133" s="11">
        <v>51587</v>
      </c>
      <c r="B133" s="35" t="s">
        <v>479</v>
      </c>
      <c r="C133" s="3" t="s">
        <v>23</v>
      </c>
      <c r="D133" s="3" t="s">
        <v>24</v>
      </c>
      <c r="E133" s="3" t="s">
        <v>91</v>
      </c>
      <c r="F133" s="3">
        <v>18062</v>
      </c>
      <c r="G133" s="3" t="s">
        <v>92</v>
      </c>
      <c r="H133" s="3">
        <v>19081</v>
      </c>
      <c r="I133" s="3" t="s">
        <v>93</v>
      </c>
      <c r="J133" s="3" t="s">
        <v>1301</v>
      </c>
      <c r="K133" s="3" t="s">
        <v>28</v>
      </c>
      <c r="L133" s="3" t="s">
        <v>28</v>
      </c>
      <c r="M133" s="3" t="s">
        <v>93</v>
      </c>
      <c r="N133" s="21">
        <v>46258.616770833331</v>
      </c>
      <c r="O133" s="3" t="s">
        <v>47</v>
      </c>
      <c r="P133" s="21">
        <v>46258.692777777775</v>
      </c>
      <c r="Q133" s="3" t="s">
        <v>30</v>
      </c>
      <c r="R133" s="3" t="s">
        <v>30</v>
      </c>
      <c r="T133" s="24">
        <v>109.4</v>
      </c>
      <c r="U133" t="s">
        <v>184</v>
      </c>
    </row>
    <row r="134" spans="1:21" x14ac:dyDescent="0.25">
      <c r="A134" s="9">
        <v>51585</v>
      </c>
      <c r="B134" s="34" t="s">
        <v>479</v>
      </c>
      <c r="C134" s="4" t="s">
        <v>23</v>
      </c>
      <c r="D134" s="4" t="s">
        <v>38</v>
      </c>
      <c r="E134" s="4" t="s">
        <v>420</v>
      </c>
      <c r="F134" s="4">
        <v>24229</v>
      </c>
      <c r="G134" s="4" t="s">
        <v>139</v>
      </c>
      <c r="H134" s="4">
        <v>23367</v>
      </c>
      <c r="I134" s="4" t="s">
        <v>1075</v>
      </c>
      <c r="J134" s="4" t="s">
        <v>1302</v>
      </c>
      <c r="K134" s="4" t="s">
        <v>28</v>
      </c>
      <c r="L134" s="4" t="s">
        <v>28</v>
      </c>
      <c r="M134" s="4" t="s">
        <v>139</v>
      </c>
      <c r="N134" s="19">
        <v>46258.611990740741</v>
      </c>
      <c r="O134" s="4" t="s">
        <v>47</v>
      </c>
      <c r="P134" s="19">
        <v>46258.688090277778</v>
      </c>
      <c r="Q134" s="4" t="s">
        <v>30</v>
      </c>
      <c r="R134" s="4" t="s">
        <v>30</v>
      </c>
      <c r="T134" s="24">
        <v>109.6</v>
      </c>
      <c r="U134" t="s">
        <v>184</v>
      </c>
    </row>
    <row r="135" spans="1:21" x14ac:dyDescent="0.25">
      <c r="A135" s="11">
        <v>51582</v>
      </c>
      <c r="B135" s="35" t="s">
        <v>479</v>
      </c>
      <c r="C135" s="3" t="s">
        <v>23</v>
      </c>
      <c r="D135" s="3" t="s">
        <v>38</v>
      </c>
      <c r="E135" s="3" t="s">
        <v>1079</v>
      </c>
      <c r="F135" s="3">
        <v>20827</v>
      </c>
      <c r="G135" s="3" t="s">
        <v>1081</v>
      </c>
      <c r="H135" s="3">
        <v>25508</v>
      </c>
      <c r="I135" s="3" t="s">
        <v>1083</v>
      </c>
      <c r="J135" s="3" t="s">
        <v>90</v>
      </c>
      <c r="K135" s="3" t="s">
        <v>28</v>
      </c>
      <c r="L135" s="3" t="s">
        <v>28</v>
      </c>
      <c r="M135" s="3" t="s">
        <v>1081</v>
      </c>
      <c r="N135" s="21">
        <v>46258.601041666669</v>
      </c>
      <c r="O135" s="3" t="s">
        <v>47</v>
      </c>
      <c r="P135" s="21">
        <v>46259.332268518519</v>
      </c>
      <c r="Q135" s="3" t="s">
        <v>30</v>
      </c>
      <c r="R135" s="3" t="s">
        <v>29</v>
      </c>
      <c r="T135" s="24">
        <v>1053</v>
      </c>
      <c r="U135" t="s">
        <v>184</v>
      </c>
    </row>
    <row r="136" spans="1:21" x14ac:dyDescent="0.25">
      <c r="A136" s="9">
        <v>51579</v>
      </c>
      <c r="B136" s="34" t="s">
        <v>479</v>
      </c>
      <c r="C136" s="4" t="s">
        <v>23</v>
      </c>
      <c r="D136" s="4" t="s">
        <v>24</v>
      </c>
      <c r="E136" s="4" t="s">
        <v>104</v>
      </c>
      <c r="F136" s="4">
        <v>13461</v>
      </c>
      <c r="G136" s="4" t="s">
        <v>105</v>
      </c>
      <c r="H136" s="4">
        <v>25767</v>
      </c>
      <c r="I136" s="4" t="s">
        <v>1088</v>
      </c>
      <c r="J136" s="4" t="s">
        <v>1251</v>
      </c>
      <c r="K136" s="4" t="s">
        <v>28</v>
      </c>
      <c r="L136" s="4" t="s">
        <v>28</v>
      </c>
      <c r="M136" s="4" t="s">
        <v>105</v>
      </c>
      <c r="N136" s="19">
        <v>46258.591435185182</v>
      </c>
      <c r="O136" s="4" t="s">
        <v>47</v>
      </c>
      <c r="P136" s="19">
        <v>46258.696956018517</v>
      </c>
      <c r="Q136" s="4" t="s">
        <v>30</v>
      </c>
      <c r="R136" s="4" t="s">
        <v>30</v>
      </c>
      <c r="T136" s="24">
        <v>152</v>
      </c>
      <c r="U136" t="s">
        <v>184</v>
      </c>
    </row>
    <row r="137" spans="1:21" x14ac:dyDescent="0.25">
      <c r="A137" s="11">
        <v>51567</v>
      </c>
      <c r="B137" s="35" t="s">
        <v>479</v>
      </c>
      <c r="C137" s="3" t="s">
        <v>23</v>
      </c>
      <c r="D137" s="3" t="s">
        <v>24</v>
      </c>
      <c r="E137" s="3" t="s">
        <v>67</v>
      </c>
      <c r="F137" s="3">
        <v>13460</v>
      </c>
      <c r="G137" s="3" t="s">
        <v>68</v>
      </c>
      <c r="H137" s="3">
        <v>22716</v>
      </c>
      <c r="I137" s="3" t="s">
        <v>69</v>
      </c>
      <c r="J137" s="3" t="s">
        <v>90</v>
      </c>
      <c r="K137" s="3" t="s">
        <v>28</v>
      </c>
      <c r="L137" s="3" t="s">
        <v>28</v>
      </c>
      <c r="M137" s="3" t="s">
        <v>68</v>
      </c>
      <c r="N137" s="21">
        <v>46258.575208333335</v>
      </c>
      <c r="O137" s="3" t="s">
        <v>47</v>
      </c>
      <c r="P137" s="21">
        <v>46258.724988425929</v>
      </c>
      <c r="Q137" s="3" t="s">
        <v>30</v>
      </c>
      <c r="R137" s="3" t="s">
        <v>30</v>
      </c>
      <c r="T137" s="24">
        <v>215.7</v>
      </c>
      <c r="U137" t="s">
        <v>184</v>
      </c>
    </row>
    <row r="138" spans="1:21" x14ac:dyDescent="0.25">
      <c r="A138" s="9">
        <v>51566</v>
      </c>
      <c r="B138" s="34" t="s">
        <v>479</v>
      </c>
      <c r="C138" s="4" t="s">
        <v>23</v>
      </c>
      <c r="D138" s="4" t="s">
        <v>24</v>
      </c>
      <c r="E138" s="4" t="s">
        <v>123</v>
      </c>
      <c r="F138" s="4">
        <v>23149</v>
      </c>
      <c r="G138" s="4" t="s">
        <v>124</v>
      </c>
      <c r="H138" s="4">
        <v>20997</v>
      </c>
      <c r="I138" s="4" t="s">
        <v>125</v>
      </c>
      <c r="J138" s="4" t="s">
        <v>1303</v>
      </c>
      <c r="K138" s="4" t="s">
        <v>28</v>
      </c>
      <c r="L138" s="4" t="s">
        <v>28</v>
      </c>
      <c r="M138" s="4" t="s">
        <v>125</v>
      </c>
      <c r="N138" s="19">
        <v>46258.574629629627</v>
      </c>
      <c r="O138" s="4" t="s">
        <v>47</v>
      </c>
      <c r="P138" s="19">
        <v>46258.695636574077</v>
      </c>
      <c r="Q138" s="4" t="s">
        <v>30</v>
      </c>
      <c r="R138" s="4" t="s">
        <v>30</v>
      </c>
      <c r="T138" s="24">
        <v>174.3</v>
      </c>
      <c r="U138" t="s">
        <v>184</v>
      </c>
    </row>
    <row r="139" spans="1:21" x14ac:dyDescent="0.25">
      <c r="A139" s="11">
        <v>51560</v>
      </c>
      <c r="B139" s="3" t="s">
        <v>479</v>
      </c>
      <c r="C139" s="3" t="s">
        <v>23</v>
      </c>
      <c r="D139" s="3" t="s">
        <v>24</v>
      </c>
      <c r="E139" s="3" t="s">
        <v>2</v>
      </c>
      <c r="F139" s="3">
        <v>23930</v>
      </c>
      <c r="G139" s="3" t="s">
        <v>122</v>
      </c>
      <c r="H139" s="3">
        <v>15602</v>
      </c>
      <c r="I139" s="3" t="s">
        <v>392</v>
      </c>
      <c r="J139" s="3" t="s">
        <v>1304</v>
      </c>
      <c r="K139" s="3" t="s">
        <v>28</v>
      </c>
      <c r="L139" s="3" t="s">
        <v>28</v>
      </c>
      <c r="M139" s="3" t="s">
        <v>121</v>
      </c>
      <c r="N139" s="21">
        <v>46258.561273148145</v>
      </c>
      <c r="O139" s="3" t="s">
        <v>47</v>
      </c>
      <c r="P139" s="21">
        <v>46258.700254629628</v>
      </c>
      <c r="Q139" s="3" t="s">
        <v>30</v>
      </c>
      <c r="R139" s="3" t="s">
        <v>30</v>
      </c>
      <c r="T139" s="24">
        <v>200.1</v>
      </c>
      <c r="U139" t="s">
        <v>184</v>
      </c>
    </row>
    <row r="140" spans="1:21" x14ac:dyDescent="0.25">
      <c r="A140" s="9">
        <v>51559</v>
      </c>
      <c r="B140" s="4" t="s">
        <v>479</v>
      </c>
      <c r="C140" s="4" t="s">
        <v>23</v>
      </c>
      <c r="D140" s="4" t="s">
        <v>38</v>
      </c>
      <c r="E140" s="4" t="s">
        <v>126</v>
      </c>
      <c r="F140" s="4">
        <v>19060</v>
      </c>
      <c r="G140" s="4" t="s">
        <v>127</v>
      </c>
      <c r="H140" s="4">
        <v>26039</v>
      </c>
      <c r="I140" s="4" t="s">
        <v>128</v>
      </c>
      <c r="J140" s="4" t="s">
        <v>374</v>
      </c>
      <c r="K140" s="4" t="s">
        <v>28</v>
      </c>
      <c r="L140" s="4" t="s">
        <v>28</v>
      </c>
      <c r="M140" s="4" t="s">
        <v>127</v>
      </c>
      <c r="N140" s="19">
        <v>46258.560729166667</v>
      </c>
      <c r="O140" s="4" t="s">
        <v>47</v>
      </c>
      <c r="P140" s="19">
        <v>46259.3202662037</v>
      </c>
      <c r="Q140" s="4" t="s">
        <v>30</v>
      </c>
      <c r="R140" s="4" t="s">
        <v>29</v>
      </c>
      <c r="T140" s="24">
        <v>1093.7</v>
      </c>
      <c r="U140" t="s">
        <v>184</v>
      </c>
    </row>
    <row r="141" spans="1:21" x14ac:dyDescent="0.25">
      <c r="A141" s="11">
        <v>51557</v>
      </c>
      <c r="B141" s="3" t="s">
        <v>479</v>
      </c>
      <c r="C141" s="3" t="s">
        <v>23</v>
      </c>
      <c r="D141" s="3" t="s">
        <v>38</v>
      </c>
      <c r="E141" s="3" t="s">
        <v>165</v>
      </c>
      <c r="F141" s="3">
        <v>17844</v>
      </c>
      <c r="G141" s="3" t="s">
        <v>166</v>
      </c>
      <c r="H141" s="3">
        <v>20033</v>
      </c>
      <c r="I141" s="3" t="s">
        <v>167</v>
      </c>
      <c r="J141" s="3" t="s">
        <v>1305</v>
      </c>
      <c r="K141" s="3" t="s">
        <v>28</v>
      </c>
      <c r="L141" s="3" t="s">
        <v>28</v>
      </c>
      <c r="M141" s="3" t="s">
        <v>167</v>
      </c>
      <c r="N141" s="21">
        <v>46258.559594907405</v>
      </c>
      <c r="O141" s="3" t="s">
        <v>47</v>
      </c>
      <c r="P141" s="21">
        <v>46258.679768518516</v>
      </c>
      <c r="Q141" s="3" t="s">
        <v>30</v>
      </c>
      <c r="R141" s="3" t="s">
        <v>30</v>
      </c>
      <c r="T141" s="24">
        <v>173</v>
      </c>
      <c r="U141" t="s">
        <v>184</v>
      </c>
    </row>
    <row r="142" spans="1:21" x14ac:dyDescent="0.25">
      <c r="A142" s="9">
        <v>51552</v>
      </c>
      <c r="B142" s="4" t="s">
        <v>479</v>
      </c>
      <c r="C142" s="4" t="s">
        <v>23</v>
      </c>
      <c r="D142" s="4" t="s">
        <v>24</v>
      </c>
      <c r="E142" s="4" t="s">
        <v>58</v>
      </c>
      <c r="F142" s="4">
        <v>9757</v>
      </c>
      <c r="G142" s="4" t="s">
        <v>59</v>
      </c>
      <c r="H142" s="4">
        <v>6652</v>
      </c>
      <c r="I142" s="4" t="s">
        <v>60</v>
      </c>
      <c r="J142" s="4" t="s">
        <v>1306</v>
      </c>
      <c r="K142" s="4" t="s">
        <v>28</v>
      </c>
      <c r="L142" s="4" t="s">
        <v>28</v>
      </c>
      <c r="M142" s="4" t="s">
        <v>59</v>
      </c>
      <c r="N142" s="19">
        <v>46258.554942129631</v>
      </c>
      <c r="O142" s="4" t="s">
        <v>47</v>
      </c>
      <c r="P142" s="19">
        <v>46258.669618055559</v>
      </c>
      <c r="Q142" s="4" t="s">
        <v>30</v>
      </c>
      <c r="R142" s="4" t="s">
        <v>30</v>
      </c>
      <c r="T142" s="24">
        <v>165.1</v>
      </c>
      <c r="U142" t="s">
        <v>184</v>
      </c>
    </row>
    <row r="143" spans="1:21" x14ac:dyDescent="0.25">
      <c r="A143" s="11">
        <v>51550</v>
      </c>
      <c r="B143" s="3" t="s">
        <v>479</v>
      </c>
      <c r="C143" s="3" t="s">
        <v>23</v>
      </c>
      <c r="D143" s="3" t="s">
        <v>24</v>
      </c>
      <c r="E143" s="3" t="s">
        <v>110</v>
      </c>
      <c r="F143" s="3">
        <v>19073</v>
      </c>
      <c r="G143" s="3" t="s">
        <v>111</v>
      </c>
      <c r="H143" s="3">
        <v>24778</v>
      </c>
      <c r="I143" s="3" t="s">
        <v>112</v>
      </c>
      <c r="J143" s="3" t="s">
        <v>1225</v>
      </c>
      <c r="K143" s="3" t="s">
        <v>28</v>
      </c>
      <c r="L143" s="3" t="s">
        <v>28</v>
      </c>
      <c r="M143" s="3" t="s">
        <v>112</v>
      </c>
      <c r="N143" s="21">
        <v>46258.55363425926</v>
      </c>
      <c r="O143" s="3" t="s">
        <v>47</v>
      </c>
      <c r="P143" s="21">
        <v>46258.724374999998</v>
      </c>
      <c r="Q143" s="3" t="s">
        <v>30</v>
      </c>
      <c r="R143" s="3" t="s">
        <v>30</v>
      </c>
      <c r="T143" s="24">
        <v>245.9</v>
      </c>
      <c r="U143" t="s">
        <v>184</v>
      </c>
    </row>
    <row r="144" spans="1:21" x14ac:dyDescent="0.25">
      <c r="A144" s="9">
        <v>51542</v>
      </c>
      <c r="B144" s="4" t="s">
        <v>479</v>
      </c>
      <c r="C144" s="4" t="s">
        <v>23</v>
      </c>
      <c r="D144" s="4" t="s">
        <v>24</v>
      </c>
      <c r="E144" s="4" t="s">
        <v>133</v>
      </c>
      <c r="F144" s="4">
        <v>17449</v>
      </c>
      <c r="G144" s="4" t="s">
        <v>156</v>
      </c>
      <c r="H144" s="4">
        <v>25859</v>
      </c>
      <c r="I144" s="4" t="s">
        <v>134</v>
      </c>
      <c r="J144" s="4" t="s">
        <v>1307</v>
      </c>
      <c r="K144" s="4" t="s">
        <v>28</v>
      </c>
      <c r="L144" s="4" t="s">
        <v>28</v>
      </c>
      <c r="M144" s="4" t="s">
        <v>134</v>
      </c>
      <c r="N144" s="19">
        <v>46258.53869212963</v>
      </c>
      <c r="O144" s="4" t="s">
        <v>695</v>
      </c>
      <c r="P144" s="19">
        <v>46260.716180555559</v>
      </c>
      <c r="Q144" s="4" t="s">
        <v>30</v>
      </c>
      <c r="R144" s="4" t="s">
        <v>30</v>
      </c>
      <c r="T144" s="24">
        <v>3135.6</v>
      </c>
      <c r="U144" t="s">
        <v>184</v>
      </c>
    </row>
    <row r="145" spans="1:21" x14ac:dyDescent="0.25">
      <c r="A145" s="11">
        <v>51535</v>
      </c>
      <c r="B145" s="3" t="s">
        <v>479</v>
      </c>
      <c r="C145" s="3" t="s">
        <v>23</v>
      </c>
      <c r="D145" s="3" t="s">
        <v>24</v>
      </c>
      <c r="E145" s="3" t="s">
        <v>76</v>
      </c>
      <c r="F145" s="3">
        <v>21635</v>
      </c>
      <c r="G145" s="3" t="s">
        <v>77</v>
      </c>
      <c r="H145" s="3">
        <v>24907</v>
      </c>
      <c r="I145" s="3" t="s">
        <v>78</v>
      </c>
      <c r="J145" s="3" t="s">
        <v>1308</v>
      </c>
      <c r="K145" s="3" t="s">
        <v>28</v>
      </c>
      <c r="L145" s="3" t="s">
        <v>28</v>
      </c>
      <c r="M145" s="3" t="s">
        <v>77</v>
      </c>
      <c r="N145" s="21">
        <v>46258.52480324074</v>
      </c>
      <c r="O145" s="3" t="s">
        <v>47</v>
      </c>
      <c r="P145" s="21">
        <v>46258.649594907409</v>
      </c>
      <c r="Q145" s="3" t="s">
        <v>30</v>
      </c>
      <c r="R145" s="3" t="s">
        <v>30</v>
      </c>
      <c r="T145" s="24">
        <v>179.7</v>
      </c>
      <c r="U145" t="s">
        <v>184</v>
      </c>
    </row>
    <row r="146" spans="1:21" x14ac:dyDescent="0.25">
      <c r="A146" s="9">
        <v>51533</v>
      </c>
      <c r="B146" s="4" t="s">
        <v>479</v>
      </c>
      <c r="C146" s="4" t="s">
        <v>23</v>
      </c>
      <c r="D146" s="4" t="s">
        <v>24</v>
      </c>
      <c r="E146" s="4" t="s">
        <v>96</v>
      </c>
      <c r="F146" s="4">
        <v>17569</v>
      </c>
      <c r="G146" s="4" t="s">
        <v>97</v>
      </c>
      <c r="H146" s="4">
        <v>13733</v>
      </c>
      <c r="I146" s="4" t="s">
        <v>98</v>
      </c>
      <c r="J146" s="4" t="s">
        <v>1309</v>
      </c>
      <c r="K146" s="4" t="s">
        <v>28</v>
      </c>
      <c r="L146" s="4" t="s">
        <v>28</v>
      </c>
      <c r="M146" s="4" t="s">
        <v>97</v>
      </c>
      <c r="N146" s="19">
        <v>46258.523819444446</v>
      </c>
      <c r="O146" s="4" t="s">
        <v>695</v>
      </c>
      <c r="P146" s="19">
        <v>46258.662743055553</v>
      </c>
      <c r="Q146" s="4" t="s">
        <v>30</v>
      </c>
      <c r="R146" s="4" t="s">
        <v>30</v>
      </c>
      <c r="T146" s="24">
        <v>200</v>
      </c>
      <c r="U146" t="s">
        <v>184</v>
      </c>
    </row>
    <row r="147" spans="1:21" x14ac:dyDescent="0.25">
      <c r="A147" s="11">
        <v>51532</v>
      </c>
      <c r="B147" s="3" t="s">
        <v>479</v>
      </c>
      <c r="C147" s="3" t="s">
        <v>23</v>
      </c>
      <c r="D147" s="3" t="s">
        <v>24</v>
      </c>
      <c r="E147" s="3" t="s">
        <v>1123</v>
      </c>
      <c r="F147" s="3">
        <v>25187</v>
      </c>
      <c r="G147" s="3" t="s">
        <v>1125</v>
      </c>
      <c r="H147" s="3">
        <v>25520</v>
      </c>
      <c r="I147" s="3" t="s">
        <v>1127</v>
      </c>
      <c r="J147" s="3" t="s">
        <v>1310</v>
      </c>
      <c r="K147" s="3" t="s">
        <v>28</v>
      </c>
      <c r="L147" s="3" t="s">
        <v>28</v>
      </c>
      <c r="M147" s="3" t="s">
        <v>1125</v>
      </c>
      <c r="N147" s="21">
        <v>46258.523599537039</v>
      </c>
      <c r="O147" s="3" t="s">
        <v>47</v>
      </c>
      <c r="P147" s="21">
        <v>46259.336898148147</v>
      </c>
      <c r="Q147" s="3" t="s">
        <v>30</v>
      </c>
      <c r="R147" s="3" t="s">
        <v>29</v>
      </c>
      <c r="T147" s="24">
        <v>1171.0999999999999</v>
      </c>
      <c r="U147" t="s">
        <v>184</v>
      </c>
    </row>
    <row r="148" spans="1:21" x14ac:dyDescent="0.25">
      <c r="A148" s="9">
        <v>51517</v>
      </c>
      <c r="B148" s="4" t="s">
        <v>479</v>
      </c>
      <c r="C148" s="4" t="s">
        <v>23</v>
      </c>
      <c r="D148" s="4" t="s">
        <v>24</v>
      </c>
      <c r="E148" s="4" t="s">
        <v>474</v>
      </c>
      <c r="F148" s="4">
        <v>1922</v>
      </c>
      <c r="G148" s="4" t="s">
        <v>449</v>
      </c>
      <c r="H148" s="4">
        <v>25763</v>
      </c>
      <c r="I148" s="4" t="s">
        <v>451</v>
      </c>
      <c r="J148" s="4" t="s">
        <v>1311</v>
      </c>
      <c r="K148" s="4" t="s">
        <v>28</v>
      </c>
      <c r="L148" s="4" t="s">
        <v>28</v>
      </c>
      <c r="M148" s="4" t="s">
        <v>449</v>
      </c>
      <c r="N148" s="19">
        <v>46258.494745370372</v>
      </c>
      <c r="O148" s="4" t="s">
        <v>47</v>
      </c>
      <c r="P148" s="19">
        <v>46258.723564814813</v>
      </c>
      <c r="Q148" s="4" t="s">
        <v>29</v>
      </c>
      <c r="R148" s="4" t="s">
        <v>30</v>
      </c>
      <c r="T148" s="24">
        <v>329.5</v>
      </c>
      <c r="U148" t="s">
        <v>184</v>
      </c>
    </row>
    <row r="149" spans="1:21" x14ac:dyDescent="0.25">
      <c r="A149" s="11">
        <v>51501</v>
      </c>
      <c r="B149" s="3" t="s">
        <v>479</v>
      </c>
      <c r="C149" s="3" t="s">
        <v>23</v>
      </c>
      <c r="D149" s="3" t="s">
        <v>24</v>
      </c>
      <c r="E149" s="3" t="s">
        <v>468</v>
      </c>
      <c r="F149" s="3">
        <v>23359</v>
      </c>
      <c r="G149" s="3" t="s">
        <v>395</v>
      </c>
      <c r="H149" s="3">
        <v>24255</v>
      </c>
      <c r="I149" s="3" t="s">
        <v>397</v>
      </c>
      <c r="J149" s="3" t="s">
        <v>1188</v>
      </c>
      <c r="K149" s="3" t="s">
        <v>28</v>
      </c>
      <c r="L149" s="3" t="s">
        <v>28</v>
      </c>
      <c r="M149" s="3" t="s">
        <v>395</v>
      </c>
      <c r="N149" s="21">
        <v>46258.464583333334</v>
      </c>
      <c r="O149" s="3" t="s">
        <v>47</v>
      </c>
      <c r="P149" s="21">
        <v>46258.68990740741</v>
      </c>
      <c r="Q149" s="3" t="s">
        <v>29</v>
      </c>
      <c r="R149" s="3" t="s">
        <v>30</v>
      </c>
      <c r="T149" s="24">
        <v>324.5</v>
      </c>
      <c r="U149" t="s">
        <v>184</v>
      </c>
    </row>
    <row r="150" spans="1:21" x14ac:dyDescent="0.25">
      <c r="A150" s="9">
        <v>51499</v>
      </c>
      <c r="B150" s="4" t="s">
        <v>479</v>
      </c>
      <c r="C150" s="4" t="s">
        <v>23</v>
      </c>
      <c r="D150" s="4" t="s">
        <v>38</v>
      </c>
      <c r="E150" s="4" t="s">
        <v>157</v>
      </c>
      <c r="F150" s="4">
        <v>21356</v>
      </c>
      <c r="G150" s="4" t="s">
        <v>158</v>
      </c>
      <c r="H150" s="4">
        <v>23869</v>
      </c>
      <c r="I150" s="4" t="s">
        <v>159</v>
      </c>
      <c r="J150" s="4" t="s">
        <v>374</v>
      </c>
      <c r="K150" s="4" t="s">
        <v>28</v>
      </c>
      <c r="L150" s="4" t="s">
        <v>28</v>
      </c>
      <c r="M150" s="4" t="s">
        <v>158</v>
      </c>
      <c r="N150" s="19">
        <v>46258.458229166667</v>
      </c>
      <c r="O150" s="4" t="s">
        <v>47</v>
      </c>
      <c r="P150" s="19">
        <v>46258.701307870368</v>
      </c>
      <c r="Q150" s="4" t="s">
        <v>29</v>
      </c>
      <c r="R150" s="4" t="s">
        <v>30</v>
      </c>
      <c r="T150" s="24">
        <v>350</v>
      </c>
      <c r="U150" t="s">
        <v>184</v>
      </c>
    </row>
    <row r="151" spans="1:21" x14ac:dyDescent="0.25">
      <c r="A151" s="11">
        <v>51478</v>
      </c>
      <c r="B151" s="3" t="s">
        <v>479</v>
      </c>
      <c r="C151" s="3" t="s">
        <v>23</v>
      </c>
      <c r="D151" s="3" t="s">
        <v>24</v>
      </c>
      <c r="E151" s="3" t="s">
        <v>1143</v>
      </c>
      <c r="F151" s="3">
        <v>18437</v>
      </c>
      <c r="G151" s="3" t="s">
        <v>1145</v>
      </c>
      <c r="H151" s="3">
        <v>19486</v>
      </c>
      <c r="I151" s="3" t="s">
        <v>1147</v>
      </c>
      <c r="J151" s="3" t="s">
        <v>90</v>
      </c>
      <c r="K151" s="3" t="s">
        <v>28</v>
      </c>
      <c r="L151" s="3" t="s">
        <v>28</v>
      </c>
      <c r="M151" s="3" t="s">
        <v>1147</v>
      </c>
      <c r="N151" s="21">
        <v>46258.403587962966</v>
      </c>
      <c r="O151" s="3" t="s">
        <v>47</v>
      </c>
      <c r="P151" s="21">
        <v>46258.706099537034</v>
      </c>
      <c r="Q151" s="3" t="s">
        <v>29</v>
      </c>
      <c r="R151" s="3" t="s">
        <v>30</v>
      </c>
      <c r="T151" s="24">
        <v>435.6</v>
      </c>
      <c r="U151" t="s">
        <v>184</v>
      </c>
    </row>
    <row r="152" spans="1:21" x14ac:dyDescent="0.25">
      <c r="A152" s="9">
        <v>51475</v>
      </c>
      <c r="B152" s="4" t="s">
        <v>479</v>
      </c>
      <c r="C152" s="4" t="s">
        <v>23</v>
      </c>
      <c r="D152" s="4" t="s">
        <v>24</v>
      </c>
      <c r="E152" s="4" t="s">
        <v>472</v>
      </c>
      <c r="F152" s="4">
        <v>13231</v>
      </c>
      <c r="G152" s="4" t="s">
        <v>428</v>
      </c>
      <c r="H152" s="4">
        <v>20964</v>
      </c>
      <c r="I152" s="4" t="s">
        <v>430</v>
      </c>
      <c r="J152" s="4" t="s">
        <v>1312</v>
      </c>
      <c r="K152" s="4" t="s">
        <v>28</v>
      </c>
      <c r="L152" s="4" t="s">
        <v>28</v>
      </c>
      <c r="M152" s="4" t="s">
        <v>428</v>
      </c>
      <c r="N152" s="19">
        <v>46258.401643518519</v>
      </c>
      <c r="O152" s="4" t="s">
        <v>47</v>
      </c>
      <c r="P152" s="19">
        <v>46258.693958333337</v>
      </c>
      <c r="Q152" s="4" t="s">
        <v>29</v>
      </c>
      <c r="R152" s="4" t="s">
        <v>30</v>
      </c>
      <c r="T152" s="24">
        <v>420.9</v>
      </c>
      <c r="U152" t="s">
        <v>184</v>
      </c>
    </row>
    <row r="153" spans="1:21" x14ac:dyDescent="0.25">
      <c r="A153" s="11">
        <v>51464</v>
      </c>
      <c r="B153" s="3" t="s">
        <v>479</v>
      </c>
      <c r="C153" s="3" t="s">
        <v>23</v>
      </c>
      <c r="D153" s="3" t="s">
        <v>24</v>
      </c>
      <c r="E153" s="3" t="s">
        <v>25</v>
      </c>
      <c r="F153" s="3">
        <v>21352</v>
      </c>
      <c r="G153" s="3" t="s">
        <v>26</v>
      </c>
      <c r="H153" s="3">
        <v>22749</v>
      </c>
      <c r="I153" s="3" t="s">
        <v>27</v>
      </c>
      <c r="J153" s="3" t="s">
        <v>1313</v>
      </c>
      <c r="K153" s="3" t="s">
        <v>28</v>
      </c>
      <c r="L153" s="3" t="s">
        <v>28</v>
      </c>
      <c r="M153" s="3" t="s">
        <v>27</v>
      </c>
      <c r="N153" s="21">
        <v>46258.38621527778</v>
      </c>
      <c r="O153" s="3" t="s">
        <v>47</v>
      </c>
      <c r="P153" s="21">
        <v>46258.738483796296</v>
      </c>
      <c r="Q153" s="3" t="s">
        <v>29</v>
      </c>
      <c r="R153" s="3" t="s">
        <v>30</v>
      </c>
      <c r="T153" s="24">
        <v>507.3</v>
      </c>
      <c r="U153" t="s">
        <v>184</v>
      </c>
    </row>
    <row r="154" spans="1:21" x14ac:dyDescent="0.25">
      <c r="A154" s="9">
        <v>51463</v>
      </c>
      <c r="B154" s="4" t="s">
        <v>479</v>
      </c>
      <c r="C154" s="4" t="s">
        <v>23</v>
      </c>
      <c r="D154" s="4" t="s">
        <v>24</v>
      </c>
      <c r="E154" s="4" t="s">
        <v>4</v>
      </c>
      <c r="F154" s="4">
        <v>23492</v>
      </c>
      <c r="G154" s="4" t="s">
        <v>99</v>
      </c>
      <c r="H154" s="4">
        <v>18442</v>
      </c>
      <c r="I154" s="4" t="s">
        <v>100</v>
      </c>
      <c r="J154" s="4" t="s">
        <v>1314</v>
      </c>
      <c r="K154" s="4" t="s">
        <v>28</v>
      </c>
      <c r="L154" s="4" t="s">
        <v>28</v>
      </c>
      <c r="M154" s="4" t="s">
        <v>99</v>
      </c>
      <c r="N154" s="19">
        <v>46258.385613425926</v>
      </c>
      <c r="O154" s="4" t="s">
        <v>47</v>
      </c>
      <c r="P154" s="19">
        <v>46258.701944444445</v>
      </c>
      <c r="Q154" s="4" t="s">
        <v>29</v>
      </c>
      <c r="R154" s="4" t="s">
        <v>30</v>
      </c>
      <c r="T154" s="24">
        <v>455.5</v>
      </c>
      <c r="U154" t="s">
        <v>184</v>
      </c>
    </row>
    <row r="155" spans="1:21" x14ac:dyDescent="0.25">
      <c r="A155" s="11">
        <v>51455</v>
      </c>
      <c r="B155" s="3" t="s">
        <v>479</v>
      </c>
      <c r="C155" s="3" t="s">
        <v>23</v>
      </c>
      <c r="D155" s="3" t="s">
        <v>24</v>
      </c>
      <c r="E155" s="3" t="s">
        <v>104</v>
      </c>
      <c r="F155" s="3">
        <v>13461</v>
      </c>
      <c r="G155" s="3" t="s">
        <v>105</v>
      </c>
      <c r="H155" s="3">
        <v>25767</v>
      </c>
      <c r="I155" s="3" t="s">
        <v>1088</v>
      </c>
      <c r="J155" s="3" t="s">
        <v>1315</v>
      </c>
      <c r="K155" s="3" t="s">
        <v>28</v>
      </c>
      <c r="L155" s="3" t="s">
        <v>28</v>
      </c>
      <c r="M155" s="3" t="s">
        <v>105</v>
      </c>
      <c r="N155" s="21">
        <v>46258.361724537041</v>
      </c>
      <c r="O155" s="3" t="s">
        <v>47</v>
      </c>
      <c r="P155" s="21">
        <v>46258.447199074071</v>
      </c>
      <c r="Q155" s="3" t="s">
        <v>29</v>
      </c>
      <c r="R155" s="3" t="s">
        <v>29</v>
      </c>
      <c r="S155" t="s">
        <v>28</v>
      </c>
      <c r="T155" s="24">
        <v>123.1</v>
      </c>
      <c r="U155" t="s">
        <v>184</v>
      </c>
    </row>
    <row r="156" spans="1:21" x14ac:dyDescent="0.25">
      <c r="A156" s="9">
        <v>51446</v>
      </c>
      <c r="B156" s="4" t="s">
        <v>479</v>
      </c>
      <c r="C156" s="4" t="s">
        <v>23</v>
      </c>
      <c r="D156" s="4" t="s">
        <v>24</v>
      </c>
      <c r="E156" s="4" t="s">
        <v>101</v>
      </c>
      <c r="F156" s="4">
        <v>22724</v>
      </c>
      <c r="G156" s="4" t="s">
        <v>102</v>
      </c>
      <c r="H156" s="4">
        <v>22990</v>
      </c>
      <c r="I156" s="4" t="s">
        <v>103</v>
      </c>
      <c r="J156" s="4" t="s">
        <v>1289</v>
      </c>
      <c r="K156" s="4" t="s">
        <v>28</v>
      </c>
      <c r="L156" s="4" t="s">
        <v>28</v>
      </c>
      <c r="M156" s="4" t="s">
        <v>102</v>
      </c>
      <c r="N156" s="19">
        <v>46258.344398148147</v>
      </c>
      <c r="O156" s="4" t="s">
        <v>695</v>
      </c>
      <c r="P156" s="19">
        <v>46258.433032407411</v>
      </c>
      <c r="Q156" s="4" t="s">
        <v>29</v>
      </c>
      <c r="R156" s="4" t="s">
        <v>29</v>
      </c>
      <c r="S156" t="s">
        <v>28</v>
      </c>
      <c r="T156" s="24">
        <v>127.6</v>
      </c>
      <c r="U156" t="s">
        <v>184</v>
      </c>
    </row>
    <row r="157" spans="1:21" x14ac:dyDescent="0.25">
      <c r="A157" s="11">
        <v>51442</v>
      </c>
      <c r="B157" s="3" t="s">
        <v>479</v>
      </c>
      <c r="C157" s="3" t="s">
        <v>23</v>
      </c>
      <c r="D157" s="3" t="s">
        <v>24</v>
      </c>
      <c r="E157" s="3" t="s">
        <v>160</v>
      </c>
      <c r="F157" s="3">
        <v>6763</v>
      </c>
      <c r="G157" s="3" t="s">
        <v>129</v>
      </c>
      <c r="H157" s="3">
        <v>13042</v>
      </c>
      <c r="I157" s="3" t="s">
        <v>130</v>
      </c>
      <c r="J157" s="3" t="s">
        <v>1316</v>
      </c>
      <c r="K157" s="3" t="s">
        <v>28</v>
      </c>
      <c r="L157" s="3" t="s">
        <v>28</v>
      </c>
      <c r="M157" s="3" t="s">
        <v>129</v>
      </c>
      <c r="N157" s="21">
        <v>46258.342465277776</v>
      </c>
      <c r="O157" s="3" t="s">
        <v>47</v>
      </c>
      <c r="P157" s="21">
        <v>46258.369537037041</v>
      </c>
      <c r="Q157" s="3" t="s">
        <v>29</v>
      </c>
      <c r="R157" s="3" t="s">
        <v>29</v>
      </c>
      <c r="S157" t="s">
        <v>28</v>
      </c>
      <c r="T157" s="24">
        <v>39</v>
      </c>
      <c r="U157" t="s">
        <v>28</v>
      </c>
    </row>
    <row r="158" spans="1:21" x14ac:dyDescent="0.25">
      <c r="A158" s="9">
        <v>51437</v>
      </c>
      <c r="B158" s="4" t="s">
        <v>479</v>
      </c>
      <c r="C158" s="4" t="s">
        <v>23</v>
      </c>
      <c r="D158" s="4" t="s">
        <v>37</v>
      </c>
      <c r="E158" s="4" t="s">
        <v>113</v>
      </c>
      <c r="F158" s="4">
        <v>18608</v>
      </c>
      <c r="G158" s="4" t="s">
        <v>114</v>
      </c>
      <c r="H158" s="4">
        <v>23352</v>
      </c>
      <c r="I158" s="4" t="s">
        <v>115</v>
      </c>
      <c r="J158" s="4" t="s">
        <v>375</v>
      </c>
      <c r="K158" s="4" t="s">
        <v>28</v>
      </c>
      <c r="L158" s="4" t="s">
        <v>28</v>
      </c>
      <c r="M158" s="4" t="s">
        <v>114</v>
      </c>
      <c r="N158" s="19">
        <v>46258.335520833331</v>
      </c>
      <c r="O158" s="4" t="s">
        <v>47</v>
      </c>
      <c r="P158" s="19">
        <v>46258.707627314812</v>
      </c>
      <c r="Q158" s="4" t="s">
        <v>29</v>
      </c>
      <c r="R158" s="4" t="s">
        <v>30</v>
      </c>
      <c r="T158" s="24">
        <v>535.79999999999995</v>
      </c>
      <c r="U158" t="s">
        <v>184</v>
      </c>
    </row>
    <row r="159" spans="1:21" x14ac:dyDescent="0.25">
      <c r="A159" s="11">
        <v>51433</v>
      </c>
      <c r="B159" s="3" t="s">
        <v>479</v>
      </c>
      <c r="C159" s="3" t="s">
        <v>23</v>
      </c>
      <c r="D159" s="3" t="s">
        <v>38</v>
      </c>
      <c r="E159" s="3" t="s">
        <v>44</v>
      </c>
      <c r="F159" s="3">
        <v>12445</v>
      </c>
      <c r="G159" s="3" t="s">
        <v>45</v>
      </c>
      <c r="H159" s="3">
        <v>10613</v>
      </c>
      <c r="I159" s="3" t="s">
        <v>46</v>
      </c>
      <c r="J159" s="3" t="s">
        <v>1314</v>
      </c>
      <c r="K159" s="3" t="s">
        <v>28</v>
      </c>
      <c r="L159" s="3" t="s">
        <v>28</v>
      </c>
      <c r="M159" s="3" t="s">
        <v>45</v>
      </c>
      <c r="N159" s="21">
        <v>46258.332407407404</v>
      </c>
      <c r="O159" s="3" t="s">
        <v>47</v>
      </c>
      <c r="P159" s="21">
        <v>46258.717326388891</v>
      </c>
      <c r="Q159" s="3" t="s">
        <v>29</v>
      </c>
      <c r="R159" s="3" t="s">
        <v>30</v>
      </c>
      <c r="T159" s="24">
        <v>554.29999999999995</v>
      </c>
      <c r="U159" t="s">
        <v>184</v>
      </c>
    </row>
    <row r="160" spans="1:21" x14ac:dyDescent="0.25">
      <c r="A160" s="38">
        <v>51427</v>
      </c>
      <c r="B160" s="39" t="s">
        <v>479</v>
      </c>
      <c r="C160" s="39" t="s">
        <v>23</v>
      </c>
      <c r="D160" s="39" t="s">
        <v>24</v>
      </c>
      <c r="E160" s="39" t="s">
        <v>476</v>
      </c>
      <c r="F160" s="39">
        <v>21359</v>
      </c>
      <c r="G160" s="39" t="s">
        <v>458</v>
      </c>
      <c r="H160" s="39">
        <v>25518</v>
      </c>
      <c r="I160" s="39" t="s">
        <v>460</v>
      </c>
      <c r="J160" s="39" t="s">
        <v>475</v>
      </c>
      <c r="K160" s="39" t="s">
        <v>28</v>
      </c>
      <c r="L160" s="39" t="s">
        <v>28</v>
      </c>
      <c r="M160" s="39" t="s">
        <v>458</v>
      </c>
      <c r="N160" s="40">
        <v>46258.323819444442</v>
      </c>
      <c r="O160" s="39" t="s">
        <v>33</v>
      </c>
      <c r="P160" s="40">
        <v>46260.478333333333</v>
      </c>
      <c r="Q160" s="39" t="s">
        <v>29</v>
      </c>
      <c r="R160" s="39" t="s">
        <v>29</v>
      </c>
      <c r="T160" s="24">
        <v>3102.5</v>
      </c>
      <c r="U160" t="s">
        <v>184</v>
      </c>
    </row>
    <row r="161" spans="1:19" x14ac:dyDescent="0.25">
      <c r="A161" s="10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20"/>
      <c r="O161" s="5"/>
      <c r="P161" s="20"/>
      <c r="Q161" s="5"/>
      <c r="R161" s="5"/>
      <c r="S161" s="6"/>
    </row>
    <row r="162" spans="1:19" x14ac:dyDescent="0.25">
      <c r="A162" s="9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19"/>
      <c r="O162" s="4"/>
      <c r="P162" s="19"/>
      <c r="Q162" s="4"/>
      <c r="R162" s="4"/>
    </row>
    <row r="163" spans="1:19" x14ac:dyDescent="0.25">
      <c r="A163" s="11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21"/>
      <c r="O163" s="3"/>
      <c r="P163" s="21"/>
      <c r="Q163" s="3"/>
      <c r="R163" s="3"/>
    </row>
    <row r="164" spans="1:19" x14ac:dyDescent="0.25">
      <c r="A164" s="9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19"/>
      <c r="O164" s="4"/>
      <c r="P164" s="19"/>
      <c r="Q164" s="4"/>
      <c r="R164" s="4"/>
    </row>
    <row r="165" spans="1:19" x14ac:dyDescent="0.25">
      <c r="A165" s="11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21"/>
      <c r="O165" s="3"/>
      <c r="P165" s="21"/>
      <c r="Q165" s="3"/>
      <c r="R165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Dashboard</vt:lpstr>
      <vt:lpstr>DADOS_BRUTOS</vt:lpstr>
      <vt:lpstr>Pivot Finalizadas</vt:lpstr>
      <vt:lpstr>Pivot Segmentos</vt:lpstr>
      <vt:lpstr>Detalhada</vt:lpstr>
      <vt:lpstr>Dashboard!Area_de_impressao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Eugenio Palomares Damiao - Soc-SP</dc:creator>
  <cp:lastModifiedBy>Anderson Alex Rosario Vieira</cp:lastModifiedBy>
  <dcterms:created xsi:type="dcterms:W3CDTF">2026-07-31T14:56:18Z</dcterms:created>
  <dcterms:modified xsi:type="dcterms:W3CDTF">2026-09-14T14:17:55Z</dcterms:modified>
</cp:coreProperties>
</file>